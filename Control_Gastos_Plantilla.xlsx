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tegorías" sheetId="1" state="visible" r:id="rId1"/>
    <sheet name="Objetivo" sheetId="2" state="visible" r:id="rId2"/>
    <sheet name="Cuadro de Mando" sheetId="3" state="visible" r:id="rId3"/>
    <sheet name="Resumen Mensual 2026" sheetId="4" state="visible" r:id="rId4"/>
    <sheet name="Gastos e Ingresos 2026" sheetId="5" state="visible" r:id="rId5"/>
    <sheet name="Resumen Mensual 2027" sheetId="6" state="visible" r:id="rId6"/>
    <sheet name="Gastos e Ingresos 2027" sheetId="7" state="visible" r:id="rId7"/>
    <sheet name="Resumen Mensual 2028" sheetId="8" state="visible" r:id="rId8"/>
    <sheet name="Gastos e Ingresos 2028" sheetId="9" state="visible" r:id="rId9"/>
    <sheet name="Resumen Mensual 2029" sheetId="10" state="visible" r:id="rId10"/>
    <sheet name="Gastos e Ingresos 2029" sheetId="11" state="visible" r:id="rId11"/>
    <sheet name="Resumen Mensual 2030" sheetId="12" state="visible" r:id="rId12"/>
    <sheet name="Gastos e Ingresos 203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/MM/yyyy"/>
    <numFmt numFmtId="165" formatCode="$#,##0.00"/>
    <numFmt numFmtId="166" formatCode="0.0%"/>
    <numFmt numFmtId="167" formatCode="$#,##0.00;($#,##0.00);&quot;-&quot;"/>
    <numFmt numFmtId="168" formatCode="yyyy-mm-dd"/>
    <numFmt numFmtId="169" formatCode="#,##0.00&quot; €&quot;"/>
    <numFmt numFmtId="170" formatCode="dd/mm/yyyy"/>
  </numFmts>
  <fonts count="16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b val="1"/>
      <color rgb="00FFFFFF"/>
      <sz val="11"/>
    </font>
    <font>
      <name val="Calibri"/>
      <color rgb="00222222"/>
      <sz val="11"/>
    </font>
    <font>
      <name val="Calibri"/>
      <color rgb="007F1D1D"/>
      <sz val="11"/>
    </font>
    <font>
      <name val="Calibri"/>
      <b val="1"/>
      <color rgb="001E4620"/>
      <sz val="11"/>
    </font>
    <font>
      <name val="Calibri"/>
      <b val="1"/>
      <color rgb="001B365D"/>
      <sz val="16"/>
    </font>
    <font>
      <name val="Calibri"/>
      <b val="1"/>
      <color rgb="00222222"/>
      <sz val="11"/>
    </font>
    <font>
      <name val="Calibri"/>
      <b val="1"/>
      <color rgb="00FFFFFF"/>
      <sz val="18"/>
    </font>
    <font>
      <name val="Calibri"/>
      <i val="1"/>
      <color rgb="00555555"/>
      <sz val="10"/>
    </font>
    <font>
      <name val="Calibri"/>
      <i val="1"/>
      <color rgb="00555555"/>
      <sz val="9"/>
    </font>
    <font>
      <name val="Calibri"/>
      <b val="1"/>
      <color rgb="001B365D"/>
      <sz val="20"/>
    </font>
    <font>
      <name val="Calibri"/>
      <i val="1"/>
      <color rgb="00555555"/>
      <sz val="11"/>
    </font>
    <font>
      <name val="Calibri"/>
      <b val="1"/>
      <color rgb="00FFFFFF"/>
      <sz val="16"/>
    </font>
    <font>
      <name val="Calibri"/>
      <b val="1"/>
      <color rgb="0003543F"/>
      <sz val="11"/>
    </font>
  </fonts>
  <fills count="13">
    <fill>
      <patternFill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0EE90"/>
        <bgColor rgb="FF90EE90"/>
      </patternFill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E2F0D9"/>
        <bgColor rgb="00E2F0D9"/>
      </patternFill>
    </fill>
    <fill>
      <patternFill patternType="solid">
        <fgColor rgb="00F9FAFC"/>
        <bgColor rgb="00F9FAFC"/>
      </patternFill>
    </fill>
    <fill>
      <patternFill patternType="solid">
        <fgColor rgb="00EDFDF2"/>
        <bgColor rgb="00EDFDF2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  <fill>
      <patternFill patternType="solid">
        <fgColor rgb="00FDF2F2"/>
        <bgColor rgb="00FDF2F2"/>
      </patternFill>
    </fill>
  </fills>
  <borders count="23">
    <border/>
    <border>
      <left/>
      <right/>
      <top/>
      <bottom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medium">
        <color rgb="001B365D"/>
      </bottom>
    </border>
    <border>
      <top style="thin">
        <color rgb="00D3D3D3"/>
      </top>
      <bottom style="double">
        <color rgb="001B365D"/>
      </bottom>
    </border>
    <border>
      <top style="thin">
        <color rgb="00D3D3D3"/>
      </top>
    </border>
    <border>
      <right style="thin">
        <color rgb="00D3D3D3"/>
      </right>
      <top style="thin">
        <color rgb="00D3D3D3"/>
      </top>
    </border>
    <border>
      <top style="thin">
        <color rgb="00D3D3D3"/>
      </top>
      <bottom style="thin">
        <color rgb="00D3D3D3"/>
      </bottom>
    </border>
    <border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  <border>
      <left style="thin">
        <color rgb="00E0E0E0"/>
      </left>
      <right style="thin">
        <color rgb="00E0E0E0"/>
      </right>
      <top style="medium">
        <color rgb="001B365D"/>
      </top>
      <bottom style="medium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double">
        <color rgb="001B365D"/>
      </bottom>
    </border>
    <border>
      <top style="thin">
        <color rgb="00E0E0E0"/>
      </top>
    </border>
    <border>
      <right style="thin">
        <color rgb="00E0E0E0"/>
      </right>
      <top style="thin">
        <color rgb="00E0E0E0"/>
      </top>
    </border>
    <border>
      <top style="thin">
        <color rgb="00E0E0E0"/>
      </top>
      <bottom style="thin">
        <color rgb="00E0E0E0"/>
      </bottom>
    </border>
    <border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FFFF"/>
      </right>
      <top style="medium">
        <color rgb="001B365D"/>
      </top>
      <bottom style="medium">
        <color rgb="001B365D"/>
      </bottom>
    </border>
    <border>
      <left style="thin">
        <color rgb="00E0E0E0"/>
      </left>
      <right style="medium">
        <color rgb="001B365D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1B365D"/>
      </right>
      <top style="thin">
        <color rgb="00E0E0E0"/>
      </top>
      <bottom style="double">
        <color rgb="001B365D"/>
      </bottom>
    </border>
    <border>
      <top style="medium">
        <color rgb="001B365D"/>
      </top>
    </border>
    <border>
      <right style="thin">
        <color rgb="00E0E0E0"/>
      </right>
      <top style="medium">
        <color rgb="001B365D"/>
      </top>
    </border>
    <border>
      <right style="thin">
        <color rgb="00E0E0E0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1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1" pivotButton="0" quotePrefix="0" xfId="0"/>
    <xf numFmtId="0" fontId="1" fillId="3" borderId="1" pivotButton="0" quotePrefix="0" xfId="0"/>
    <xf numFmtId="0" fontId="0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165" fontId="12" fillId="5" borderId="2" applyAlignment="1" pivotButton="0" quotePrefix="0" xfId="0">
      <alignment horizontal="center" vertical="center"/>
    </xf>
    <xf numFmtId="166" fontId="12" fillId="5" borderId="2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3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right" vertical="center"/>
    </xf>
    <xf numFmtId="167" fontId="8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7" fontId="4" fillId="7" borderId="2" applyAlignment="1" pivotButton="0" quotePrefix="0" xfId="0">
      <alignment horizontal="right" vertical="center"/>
    </xf>
    <xf numFmtId="0" fontId="8" fillId="5" borderId="4" applyAlignment="1" pivotButton="0" quotePrefix="0" xfId="0">
      <alignment horizontal="center" vertical="center"/>
    </xf>
    <xf numFmtId="167" fontId="8" fillId="5" borderId="4" applyAlignment="1" pivotButton="0" quotePrefix="0" xfId="0">
      <alignment horizontal="right" vertical="center"/>
    </xf>
    <xf numFmtId="166" fontId="8" fillId="5" borderId="4" applyAlignment="1" pivotButton="0" quotePrefix="0" xfId="0">
      <alignment horizontal="right" vertical="center"/>
    </xf>
    <xf numFmtId="168" fontId="4" fillId="7" borderId="2" applyAlignment="1" pivotButton="0" quotePrefix="0" xfId="0">
      <alignment horizontal="center" vertical="center"/>
    </xf>
    <xf numFmtId="0" fontId="4" fillId="7" borderId="2" pivotButton="0" quotePrefix="0" xfId="0"/>
    <xf numFmtId="0" fontId="4" fillId="7" borderId="2" applyAlignment="1" pivotButton="0" quotePrefix="0" xfId="0">
      <alignment horizontal="center" vertical="center"/>
    </xf>
    <xf numFmtId="167" fontId="5" fillId="7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167" fontId="6" fillId="0" borderId="2" applyAlignment="1" pivotButton="0" quotePrefix="0" xfId="0">
      <alignment horizontal="right" vertical="center"/>
    </xf>
    <xf numFmtId="167" fontId="5" fillId="0" borderId="2" applyAlignment="1" pivotButton="0" quotePrefix="0" xfId="0">
      <alignment horizontal="right" vertical="center"/>
    </xf>
    <xf numFmtId="167" fontId="6" fillId="7" borderId="2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3" fillId="0" borderId="0" pivotButton="0" quotePrefix="0" xfId="0"/>
    <xf numFmtId="0" fontId="8" fillId="5" borderId="2" pivotButton="0" quotePrefix="0" xfId="0"/>
    <xf numFmtId="169" fontId="12" fillId="5" borderId="2" applyAlignment="1" pivotButton="0" quotePrefix="0" xfId="0">
      <alignment horizontal="right" vertical="center"/>
    </xf>
    <xf numFmtId="166" fontId="8" fillId="0" borderId="2" applyAlignment="1" pivotButton="0" quotePrefix="0" xfId="0">
      <alignment horizontal="right" vertical="center"/>
    </xf>
    <xf numFmtId="169" fontId="4" fillId="7" borderId="2" applyAlignment="1" pivotButton="0" quotePrefix="0" xfId="0">
      <alignment horizontal="right" vertical="center"/>
    </xf>
    <xf numFmtId="169" fontId="8" fillId="6" borderId="2" applyAlignment="1" pivotButton="0" quotePrefix="0" xfId="0">
      <alignment horizontal="right" vertical="center"/>
    </xf>
    <xf numFmtId="169" fontId="4" fillId="0" borderId="2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169" fontId="12" fillId="5" borderId="2" applyAlignment="1" pivotButton="0" quotePrefix="0" xfId="0">
      <alignment horizontal="center" vertical="center"/>
    </xf>
    <xf numFmtId="166" fontId="12" fillId="5" borderId="2" applyAlignment="1" pivotButton="0" quotePrefix="0" xfId="0">
      <alignment horizontal="center" vertical="center"/>
    </xf>
    <xf numFmtId="169" fontId="8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8" fillId="5" borderId="9" applyAlignment="1" pivotButton="0" quotePrefix="0" xfId="0">
      <alignment horizontal="center" vertical="center"/>
    </xf>
    <xf numFmtId="169" fontId="8" fillId="5" borderId="9" applyAlignment="1" pivotButton="0" quotePrefix="0" xfId="0">
      <alignment horizontal="right" vertical="center"/>
    </xf>
    <xf numFmtId="166" fontId="8" fillId="5" borderId="9" applyAlignment="1" pivotButton="0" quotePrefix="0" xfId="0">
      <alignment horizontal="right" vertical="center"/>
    </xf>
    <xf numFmtId="168" fontId="4" fillId="7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0" fontId="3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4" fillId="5" borderId="11" applyAlignment="1" pivotButton="0" quotePrefix="0" xfId="0">
      <alignment horizontal="center" vertical="center"/>
    </xf>
    <xf numFmtId="0" fontId="8" fillId="5" borderId="11" applyAlignment="1" pivotButton="0" quotePrefix="0" xfId="0">
      <alignment horizontal="center" vertical="center"/>
    </xf>
    <xf numFmtId="0" fontId="0" fillId="0" borderId="11" pivotButton="0" quotePrefix="0" xfId="0"/>
    <xf numFmtId="0" fontId="4" fillId="6" borderId="11" applyAlignment="1" pivotButton="0" quotePrefix="0" xfId="0">
      <alignment horizontal="center" vertical="center"/>
    </xf>
    <xf numFmtId="0" fontId="8" fillId="5" borderId="11" pivotButton="0" quotePrefix="0" xfId="0"/>
    <xf numFmtId="169" fontId="12" fillId="5" borderId="11" applyAlignment="1" pivotButton="0" quotePrefix="0" xfId="0">
      <alignment horizontal="right" vertical="center"/>
    </xf>
    <xf numFmtId="166" fontId="8" fillId="0" borderId="11" applyAlignment="1" pivotButton="0" quotePrefix="0" xfId="0">
      <alignment horizontal="right" vertical="center"/>
    </xf>
    <xf numFmtId="0" fontId="4" fillId="7" borderId="11" applyAlignment="1" pivotButton="0" quotePrefix="0" xfId="0">
      <alignment horizontal="center" vertical="center"/>
    </xf>
    <xf numFmtId="169" fontId="4" fillId="7" borderId="11" applyAlignment="1" pivotButton="0" quotePrefix="0" xfId="0">
      <alignment horizontal="right" vertical="center"/>
    </xf>
    <xf numFmtId="169" fontId="8" fillId="6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center"/>
    </xf>
    <xf numFmtId="169" fontId="4" fillId="0" borderId="11" applyAlignment="1" pivotButton="0" quotePrefix="0" xfId="0">
      <alignment horizontal="right" vertical="center"/>
    </xf>
    <xf numFmtId="0" fontId="11" fillId="5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169" fontId="12" fillId="5" borderId="11" applyAlignment="1" pivotButton="0" quotePrefix="0" xfId="0">
      <alignment horizontal="center" vertical="center"/>
    </xf>
    <xf numFmtId="166" fontId="12" fillId="5" borderId="11" applyAlignment="1" pivotButton="0" quotePrefix="0" xfId="0">
      <alignment horizontal="center" vertical="center"/>
    </xf>
    <xf numFmtId="169" fontId="8" fillId="0" borderId="11" applyAlignment="1" pivotButton="0" quotePrefix="0" xfId="0">
      <alignment horizontal="right" vertical="center"/>
    </xf>
    <xf numFmtId="166" fontId="4" fillId="0" borderId="11" applyAlignment="1" pivotButton="0" quotePrefix="0" xfId="0">
      <alignment horizontal="right" vertical="center"/>
    </xf>
    <xf numFmtId="0" fontId="8" fillId="5" borderId="12" applyAlignment="1" pivotButton="0" quotePrefix="0" xfId="0">
      <alignment horizontal="center" vertical="center"/>
    </xf>
    <xf numFmtId="169" fontId="8" fillId="5" borderId="12" applyAlignment="1" pivotButton="0" quotePrefix="0" xfId="0">
      <alignment horizontal="right" vertical="center"/>
    </xf>
    <xf numFmtId="166" fontId="8" fillId="5" borderId="12" applyAlignment="1" pivotButton="0" quotePrefix="0" xfId="0">
      <alignment horizontal="right" vertical="center"/>
    </xf>
    <xf numFmtId="168" fontId="4" fillId="7" borderId="11" applyAlignment="1" pivotButton="0" quotePrefix="0" xfId="0">
      <alignment horizontal="center" vertical="center"/>
    </xf>
    <xf numFmtId="0" fontId="4" fillId="7" borderId="11" pivotButton="0" quotePrefix="0" xfId="0"/>
    <xf numFmtId="168" fontId="4" fillId="0" borderId="11" applyAlignment="1" pivotButton="0" quotePrefix="0" xfId="0">
      <alignment horizontal="center" vertical="center"/>
    </xf>
    <xf numFmtId="0" fontId="0" fillId="0" borderId="10" pivotButton="0" quotePrefix="0" xfId="0"/>
    <xf numFmtId="0" fontId="8" fillId="5" borderId="11" applyAlignment="1" pivotButton="0" quotePrefix="0" xfId="0">
      <alignment horizontal="left" vertical="center"/>
    </xf>
    <xf numFmtId="0" fontId="8" fillId="8" borderId="11" applyAlignment="1" pivotButton="0" quotePrefix="0" xfId="0">
      <alignment horizontal="center" vertical="center"/>
    </xf>
    <xf numFmtId="0" fontId="4" fillId="8" borderId="11" applyAlignment="1" pivotButton="0" quotePrefix="0" xfId="0">
      <alignment horizontal="center" vertical="center"/>
    </xf>
    <xf numFmtId="169" fontId="8" fillId="8" borderId="11" applyAlignment="1" pivotButton="0" quotePrefix="0" xfId="0">
      <alignment horizontal="right" vertical="center"/>
    </xf>
    <xf numFmtId="0" fontId="3" fillId="4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166" fontId="4" fillId="0" borderId="18" applyAlignment="1" pivotButton="0" quotePrefix="0" xfId="0">
      <alignment horizontal="right" vertical="center"/>
    </xf>
    <xf numFmtId="0" fontId="8" fillId="5" borderId="19" applyAlignment="1" pivotButton="0" quotePrefix="0" xfId="0">
      <alignment horizontal="center" vertical="center"/>
    </xf>
    <xf numFmtId="166" fontId="8" fillId="5" borderId="19" applyAlignment="1" pivotButton="0" quotePrefix="0" xfId="0">
      <alignment horizontal="right" vertical="center"/>
    </xf>
    <xf numFmtId="170" fontId="4" fillId="7" borderId="11" applyAlignment="1" pivotButton="0" quotePrefix="0" xfId="0">
      <alignment horizontal="center" vertical="center"/>
    </xf>
    <xf numFmtId="170" fontId="4" fillId="0" borderId="11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4" fillId="5" borderId="11" applyAlignment="1" pivotButton="0" quotePrefix="0" xfId="0">
      <alignment horizontal="left" vertical="center"/>
    </xf>
    <xf numFmtId="169" fontId="8" fillId="9" borderId="11" applyAlignment="1" pivotButton="0" quotePrefix="0" xfId="0">
      <alignment horizontal="right" vertical="center"/>
    </xf>
    <xf numFmtId="169" fontId="15" fillId="8" borderId="11" applyAlignment="1" pivotButton="0" quotePrefix="0" xfId="0">
      <alignment horizontal="right" vertical="center"/>
    </xf>
    <xf numFmtId="166" fontId="8" fillId="9" borderId="11" applyAlignment="1" pivotButton="0" quotePrefix="0" xfId="0">
      <alignment horizontal="right" vertical="center"/>
    </xf>
    <xf numFmtId="169" fontId="8" fillId="10" borderId="11" applyAlignment="1" pivotButton="0" quotePrefix="0" xfId="0">
      <alignment horizontal="right" vertical="center"/>
    </xf>
    <xf numFmtId="169" fontId="8" fillId="11" borderId="11" applyAlignment="1" pivotButton="0" quotePrefix="0" xfId="0">
      <alignment horizontal="right" vertical="center"/>
    </xf>
    <xf numFmtId="169" fontId="8" fillId="12" borderId="11" applyAlignment="1" pivotButton="0" quotePrefix="0" xfId="0">
      <alignment horizontal="right" vertical="center"/>
    </xf>
    <xf numFmtId="0" fontId="8" fillId="5" borderId="11" applyAlignment="1" pivotButton="0" quotePrefix="0" xfId="0">
      <alignment horizontal="right" vertical="center"/>
    </xf>
    <xf numFmtId="0" fontId="8" fillId="0" borderId="11" applyAlignment="1" pivotButton="0" quotePrefix="0" xfId="0">
      <alignment horizontal="center" vertical="center"/>
    </xf>
    <xf numFmtId="169" fontId="0" fillId="0" borderId="11" applyAlignment="1" pivotButton="0" quotePrefix="0" xfId="0">
      <alignment horizontal="right" vertical="center"/>
    </xf>
    <xf numFmtId="166" fontId="0" fillId="0" borderId="11" applyAlignment="1" pivotButton="0" quotePrefix="0" xfId="0">
      <alignment horizontal="right" vertical="center"/>
    </xf>
    <xf numFmtId="0" fontId="8" fillId="0" borderId="12" applyAlignment="1" pivotButton="0" quotePrefix="0" xfId="0">
      <alignment horizontal="center" vertical="center"/>
    </xf>
    <xf numFmtId="169" fontId="8" fillId="0" borderId="12" applyAlignment="1" pivotButton="0" quotePrefix="0" xfId="0">
      <alignment horizontal="right" vertical="center"/>
    </xf>
    <xf numFmtId="166" fontId="8" fillId="0" borderId="12" applyAlignment="1" pivotButton="0" quotePrefix="0" xfId="0">
      <alignment horizontal="right" vertical="center"/>
    </xf>
  </cellXfs>
  <cellStyles count="1">
    <cellStyle name="Normal" xfId="0" builtinId="0"/>
  </cellStyles>
  <dxfs count="9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name val="Calibri"/>
        <b val="1"/>
        <color rgb="00385723"/>
        <sz val="11"/>
      </font>
      <fill>
        <patternFill patternType="solid">
          <fgColor rgb="00E2F0D9"/>
          <bgColor rgb="00E2F0D9"/>
        </patternFill>
      </fill>
    </dxf>
    <dxf>
      <font>
        <name val="Calibri"/>
        <b val="1"/>
        <color rgb="00C00000"/>
        <sz val="11"/>
      </font>
      <fill>
        <patternFill patternType="solid">
          <fgColor rgb="00FCE4D6"/>
          <bgColor rgb="00FCE4D6"/>
        </patternFill>
      </fill>
    </dxf>
    <dxf>
      <font>
        <name val="Calibri"/>
        <b val="1"/>
        <color rgb="0003543F"/>
        <sz val="11"/>
      </font>
      <fill>
        <patternFill patternType="solid">
          <fgColor rgb="00EDFDF2"/>
          <bgColor rgb="00EDFDF2"/>
        </patternFill>
      </fill>
    </dxf>
    <dxf>
      <font>
        <name val="Calibri"/>
        <b val="1"/>
        <color rgb="009B1C1C"/>
        <sz val="11"/>
      </font>
      <fill>
        <patternFill patternType="solid">
          <fgColor rgb="00FDF2F2"/>
          <bgColor rgb="00FDF2F2"/>
        </patternFill>
      </fill>
    </dxf>
  </dxfs>
  <tableStyles count="1" defaultTableStyle="TableStyleMedium9" defaultPivotStyle="PivotStyleLight16">
    <tableStyle name="Gastos e Ingreso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Evolución de Ingresos y Gastos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'Cuadro de Mando'!S2</f>
            </strRef>
          </tx>
          <spPr>
            <a:solidFill>
              <a:srgbClr val="1B365D"/>
            </a:solidFill>
            <a:ln>
              <a:prstDash val="solid"/>
            </a:ln>
          </spPr>
          <cat>
            <numRef>
              <f>'Cuadro de Mando'!$R$3:$R$14</f>
            </numRef>
          </cat>
          <val>
            <numRef>
              <f>'Cuadro de Mando'!$S$3:$S$14</f>
            </numRef>
          </val>
        </ser>
        <ser>
          <idx val="1"/>
          <order val="1"/>
          <tx>
            <strRef>
              <f>'Cuadro de Mando'!T2</f>
            </strRef>
          </tx>
          <spPr>
            <a:solidFill>
              <a:srgbClr val="CCCCCC"/>
            </a:solidFill>
            <a:ln>
              <a:prstDash val="solid"/>
            </a:ln>
          </spPr>
          <cat>
            <numRef>
              <f>'Cuadro de Mando'!$R$3:$R$14</f>
            </numRef>
          </cat>
          <val>
            <numRef>
              <f>'Cuadro de Mando'!$T$3:$T$14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Importe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Tendencia de la Tasa de Ahorro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Mando'!V2</f>
            </strRef>
          </tx>
          <spPr>
            <a:ln w="30000">
              <a:solidFill>
                <a:srgbClr val="0072C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Mando'!$R$3:$R$14</f>
            </numRef>
          </cat>
          <val>
            <numRef>
              <f>'Cuadro de Mando'!$V$3:$V$14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Tasa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Gasto por Categoría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'Cuadro de Mando'!$W$2:$AI$2</f>
            </numRef>
          </cat>
          <val>
            <numRef>
              <f>'Cuadro de Mando'!$W$15:$AI$15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24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 outlineLevelCol="0"/>
  <cols>
    <col width="25" customWidth="1" style="18" min="1" max="1"/>
    <col width="15" customWidth="1" style="18" min="2" max="2"/>
    <col width="4" customWidth="1" style="18" min="3" max="3"/>
    <col width="22" customWidth="1" style="18" min="4" max="4"/>
    <col width="28" customWidth="1" style="18" min="5" max="5"/>
    <col width="18" customWidth="1" style="18" min="6" max="6"/>
  </cols>
  <sheetData>
    <row r="1" ht="30" customHeight="1" s="18">
      <c r="A1" s="65" t="inlineStr">
        <is>
          <t>Categorías disponibles</t>
        </is>
      </c>
      <c r="B1" s="65" t="inlineStr">
        <is>
          <t>Tipo</t>
        </is>
      </c>
      <c r="C1" s="91" t="inlineStr"/>
      <c r="D1" s="65" t="inlineStr">
        <is>
          <t>Meses del Año</t>
        </is>
      </c>
      <c r="E1" s="65" t="inlineStr">
        <is>
          <t>CONFIGURACIÓN DE MES</t>
        </is>
      </c>
      <c r="F1" s="91" t="n"/>
    </row>
    <row r="2" ht="24" customHeight="1" s="18">
      <c r="A2" s="66" t="inlineStr">
        <is>
          <t>Vivienda</t>
        </is>
      </c>
      <c r="B2" s="67" t="inlineStr">
        <is>
          <t>Gasto</t>
        </is>
      </c>
      <c r="C2" s="69" t="n"/>
      <c r="D2" s="68" t="inlineStr">
        <is>
          <t>Enero</t>
        </is>
      </c>
      <c r="E2" s="92" t="inlineStr">
        <is>
          <t>Selecciona Mes de Trabajo:</t>
        </is>
      </c>
      <c r="F2" s="93" t="inlineStr">
        <is>
          <t>Enero</t>
        </is>
      </c>
    </row>
    <row r="3" ht="24" customHeight="1" s="18">
      <c r="A3" s="66" t="inlineStr">
        <is>
          <t>Comida y bebida</t>
        </is>
      </c>
      <c r="B3" s="67" t="inlineStr">
        <is>
          <t>Gasto</t>
        </is>
      </c>
      <c r="C3" s="69" t="n"/>
      <c r="D3" s="68" t="inlineStr">
        <is>
          <t>Febrero</t>
        </is>
      </c>
      <c r="E3" s="69" t="n"/>
      <c r="F3" s="69" t="n"/>
    </row>
    <row r="4" ht="24" customHeight="1" s="18">
      <c r="A4" s="66" t="inlineStr">
        <is>
          <t>Ocio / Viajes</t>
        </is>
      </c>
      <c r="B4" s="67" t="inlineStr">
        <is>
          <t>Gasto</t>
        </is>
      </c>
      <c r="C4" s="69" t="n"/>
      <c r="D4" s="68" t="inlineStr">
        <is>
          <t>Marzo</t>
        </is>
      </c>
      <c r="E4" s="69" t="n"/>
      <c r="F4" s="69" t="n"/>
    </row>
    <row r="5" ht="24" customHeight="1" s="18">
      <c r="A5" s="66" t="inlineStr">
        <is>
          <t>Ocio / salidas</t>
        </is>
      </c>
      <c r="B5" s="67" t="inlineStr">
        <is>
          <t>Gasto</t>
        </is>
      </c>
      <c r="C5" s="69" t="n"/>
      <c r="D5" s="68" t="inlineStr">
        <is>
          <t>Abril</t>
        </is>
      </c>
      <c r="E5" s="69" t="n"/>
      <c r="F5" s="69" t="n"/>
    </row>
    <row r="6" ht="24" customHeight="1" s="18">
      <c r="A6" s="66" t="inlineStr">
        <is>
          <t>Tecnología / Otros</t>
        </is>
      </c>
      <c r="B6" s="67" t="inlineStr">
        <is>
          <t>Gasto</t>
        </is>
      </c>
      <c r="C6" s="69" t="n"/>
      <c r="D6" s="68" t="inlineStr">
        <is>
          <t>Mayo</t>
        </is>
      </c>
      <c r="E6" s="69" t="n"/>
      <c r="F6" s="69" t="n"/>
    </row>
    <row r="7" ht="24" customHeight="1" s="18">
      <c r="A7" s="66" t="inlineStr">
        <is>
          <t>Transporte / Gasolina</t>
        </is>
      </c>
      <c r="B7" s="67" t="inlineStr">
        <is>
          <t>Gasto</t>
        </is>
      </c>
      <c r="C7" s="69" t="n"/>
      <c r="D7" s="68" t="inlineStr">
        <is>
          <t>Junio</t>
        </is>
      </c>
      <c r="E7" s="69" t="n"/>
      <c r="F7" s="69" t="n"/>
    </row>
    <row r="8" ht="24" customHeight="1" s="18">
      <c r="A8" s="66" t="inlineStr">
        <is>
          <t>Ocio / Eventos</t>
        </is>
      </c>
      <c r="B8" s="67" t="inlineStr">
        <is>
          <t>Gasto</t>
        </is>
      </c>
      <c r="C8" s="69" t="n"/>
      <c r="D8" s="68" t="inlineStr">
        <is>
          <t>Julio</t>
        </is>
      </c>
      <c r="E8" s="69" t="n"/>
      <c r="F8" s="69" t="n"/>
    </row>
    <row r="9" ht="24" customHeight="1" s="18">
      <c r="A9" s="66" t="inlineStr">
        <is>
          <t>Salud</t>
        </is>
      </c>
      <c r="B9" s="67" t="inlineStr">
        <is>
          <t>Gasto</t>
        </is>
      </c>
      <c r="C9" s="69" t="n"/>
      <c r="D9" s="68" t="inlineStr">
        <is>
          <t>Agosto</t>
        </is>
      </c>
      <c r="E9" s="69" t="n"/>
      <c r="F9" s="69" t="n"/>
    </row>
    <row r="10" ht="24" customHeight="1" s="18">
      <c r="A10" s="66" t="inlineStr">
        <is>
          <t>Educación</t>
        </is>
      </c>
      <c r="B10" s="67" t="inlineStr">
        <is>
          <t>Gasto</t>
        </is>
      </c>
      <c r="C10" s="69" t="n"/>
      <c r="D10" s="68" t="inlineStr">
        <is>
          <t>Septiembre</t>
        </is>
      </c>
      <c r="E10" s="69" t="n"/>
      <c r="F10" s="69" t="n"/>
    </row>
    <row r="11" ht="24" customHeight="1" s="18">
      <c r="A11" s="66" t="inlineStr">
        <is>
          <t>Ropa</t>
        </is>
      </c>
      <c r="B11" s="67" t="inlineStr">
        <is>
          <t>Gasto</t>
        </is>
      </c>
      <c r="C11" s="69" t="n"/>
      <c r="D11" s="68" t="inlineStr">
        <is>
          <t>Octubre</t>
        </is>
      </c>
      <c r="E11" s="69" t="n"/>
      <c r="F11" s="69" t="n"/>
    </row>
    <row r="12" ht="24" customHeight="1" s="18">
      <c r="A12" s="66" t="inlineStr">
        <is>
          <t>Suscripciones</t>
        </is>
      </c>
      <c r="B12" s="67" t="inlineStr">
        <is>
          <t>Gasto</t>
        </is>
      </c>
      <c r="C12" s="69" t="n"/>
      <c r="D12" s="68" t="inlineStr">
        <is>
          <t>Noviembre</t>
        </is>
      </c>
      <c r="E12" s="69" t="n"/>
      <c r="F12" s="69" t="n"/>
    </row>
    <row r="13" ht="24" customHeight="1" s="18">
      <c r="A13" s="66" t="inlineStr">
        <is>
          <t>Mascotas</t>
        </is>
      </c>
      <c r="B13" s="67" t="inlineStr">
        <is>
          <t>Gasto</t>
        </is>
      </c>
      <c r="C13" s="69" t="n"/>
      <c r="D13" s="68" t="inlineStr">
        <is>
          <t>Diciembre</t>
        </is>
      </c>
      <c r="E13" s="69" t="n"/>
      <c r="F13" s="69" t="n"/>
    </row>
    <row r="14" ht="24" customHeight="1" s="18">
      <c r="A14" s="66" t="inlineStr">
        <is>
          <t>Otros</t>
        </is>
      </c>
      <c r="B14" s="67" t="inlineStr">
        <is>
          <t>Gasto</t>
        </is>
      </c>
      <c r="C14" s="69" t="n"/>
      <c r="D14" s="69" t="n"/>
      <c r="E14" s="69" t="n"/>
      <c r="F14" s="69" t="n"/>
    </row>
    <row r="15" ht="24" customHeight="1" s="18">
      <c r="A15" s="66" t="inlineStr">
        <is>
          <t>Nómina</t>
        </is>
      </c>
      <c r="B15" s="94" t="inlineStr">
        <is>
          <t>Ingreso</t>
        </is>
      </c>
      <c r="C15" s="69" t="n"/>
      <c r="D15" s="69" t="n"/>
      <c r="E15" s="69" t="n"/>
      <c r="F15" s="69" t="n"/>
    </row>
  </sheetData>
  <mergeCells count="1">
    <mergeCell ref="E1:F1"/>
  </mergeCells>
  <dataValidations count="1">
    <dataValidation sqref="F2" showDropDown="0" showInputMessage="0" showErrorMessage="0" allowBlank="0" type="list">
      <formula1>'Categorías'!$D$2:$D$13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 outlineLevelCol="0"/>
  <cols>
    <col width="38" customWidth="1" style="18" min="1" max="1"/>
    <col width="18" customWidth="1" style="18" min="2" max="2"/>
    <col width="26" customWidth="1" style="18" min="3" max="3"/>
    <col width="30" customWidth="1" style="18" min="4" max="4"/>
    <col width="26" customWidth="1" style="18" min="5" max="5"/>
    <col width="30" customWidth="1" style="18" min="6" max="6"/>
    <col width="34" customWidth="1" style="18" min="7" max="7"/>
  </cols>
  <sheetData>
    <row r="1" ht="35" customHeight="1" s="18">
      <c r="A1" s="103" t="inlineStr">
        <is>
          <t>PLANIFICACIÓN DE OBJETIVOS Y SIMULACIÓN DE GASTOS ADICIONALES</t>
        </is>
      </c>
    </row>
    <row r="2" ht="20" customHeight="1" s="18">
      <c r="A2" s="104" t="inlineStr">
        <is>
          <t>Simulador interactivo de patrimonio y coste de oportunidad a largo plazo (25 años)</t>
        </is>
      </c>
    </row>
    <row r="4" ht="24" customHeight="1" s="18">
      <c r="A4" s="105" t="inlineStr">
        <is>
          <t>Ingresos Mensuales del Usuario</t>
        </is>
      </c>
      <c r="B4" s="106" t="n">
        <v>2500</v>
      </c>
    </row>
    <row r="5" ht="24" customHeight="1" s="18">
      <c r="A5" s="105" t="inlineStr">
        <is>
          <t>Gastos Mensuales Ordinarios</t>
        </is>
      </c>
      <c r="B5" s="106" t="n">
        <v>1500</v>
      </c>
    </row>
    <row r="6" ht="24" customHeight="1" s="18">
      <c r="A6" s="92" t="inlineStr">
        <is>
          <t>Ahorro Mensual Ordinario (Calculado)</t>
        </is>
      </c>
      <c r="B6" s="107">
        <f>B4-B5</f>
        <v/>
      </c>
    </row>
    <row r="7" ht="24" customHeight="1" s="18">
      <c r="A7" s="105" t="inlineStr">
        <is>
          <t>Gastos Adicionales Simulación (Coche/Hipoteca)</t>
        </is>
      </c>
      <c r="B7" s="106" t="n">
        <v>500</v>
      </c>
    </row>
    <row r="8" ht="24" customHeight="1" s="18">
      <c r="A8" s="92" t="inlineStr">
        <is>
          <t>Ahorro Mensual con Simulación (Calculado)</t>
        </is>
      </c>
      <c r="B8" s="107">
        <f>B6-B7</f>
        <v/>
      </c>
    </row>
    <row r="9" ht="24" customHeight="1" s="18">
      <c r="A9" s="105" t="inlineStr">
        <is>
          <t>Tasa de Rendimiento Anual (Inversión)</t>
        </is>
      </c>
      <c r="B9" s="108" t="n">
        <v>0.04</v>
      </c>
    </row>
    <row r="11" ht="30" customHeight="1" s="18">
      <c r="A11" s="65" t="inlineStr">
        <is>
          <t>Plazo Temporal</t>
        </is>
      </c>
      <c r="B11" s="65" t="inlineStr">
        <is>
          <t>Número de Meses</t>
        </is>
      </c>
      <c r="C11" s="65" t="inlineStr">
        <is>
          <t>Ahorro Ordinario Simple</t>
        </is>
      </c>
      <c r="D11" s="65" t="inlineStr">
        <is>
          <t>Patrimonio Ordinario Invertido</t>
        </is>
      </c>
      <c r="E11" s="65" t="inlineStr">
        <is>
          <t>Ahorro Simulación Simple</t>
        </is>
      </c>
      <c r="F11" s="65" t="inlineStr">
        <is>
          <t>Patrimonio Simulación Invertido</t>
        </is>
      </c>
      <c r="G11" s="65" t="inlineStr">
        <is>
          <t>Impacto Neto (Coste Oportunidad)</t>
        </is>
      </c>
    </row>
    <row r="12" ht="24" customHeight="1" s="18">
      <c r="A12" s="68" t="inlineStr">
        <is>
          <t>6 meses</t>
        </is>
      </c>
      <c r="B12" s="74" t="n">
        <v>6</v>
      </c>
      <c r="C12" s="75">
        <f>B$6*B12</f>
        <v/>
      </c>
      <c r="D12" s="109">
        <f>FV(B$9/12, B12, -B$6)</f>
        <v/>
      </c>
      <c r="E12" s="75">
        <f>B$8*B12</f>
        <v/>
      </c>
      <c r="F12" s="109">
        <f>FV(B$9/12, B12, -B$8)</f>
        <v/>
      </c>
      <c r="G12" s="110">
        <f>D12-F12</f>
        <v/>
      </c>
    </row>
    <row r="13" ht="24" customHeight="1" s="18">
      <c r="A13" s="68" t="inlineStr">
        <is>
          <t>1 año</t>
        </is>
      </c>
      <c r="B13" s="77" t="n">
        <v>12</v>
      </c>
      <c r="C13" s="78">
        <f>B$6*B13</f>
        <v/>
      </c>
      <c r="D13" s="95">
        <f>FV(B$9/12, B13, -B$6)</f>
        <v/>
      </c>
      <c r="E13" s="78">
        <f>B$8*B13</f>
        <v/>
      </c>
      <c r="F13" s="95">
        <f>FV(B$9/12, B13, -B$8)</f>
        <v/>
      </c>
      <c r="G13" s="111">
        <f>D13-F13</f>
        <v/>
      </c>
    </row>
    <row r="14" ht="24" customHeight="1" s="18">
      <c r="A14" s="68" t="inlineStr">
        <is>
          <t>3 años</t>
        </is>
      </c>
      <c r="B14" s="74" t="n">
        <v>36</v>
      </c>
      <c r="C14" s="75">
        <f>B$6*B14</f>
        <v/>
      </c>
      <c r="D14" s="109">
        <f>FV(B$9/12, B14, -B$6)</f>
        <v/>
      </c>
      <c r="E14" s="75">
        <f>B$8*B14</f>
        <v/>
      </c>
      <c r="F14" s="109">
        <f>FV(B$9/12, B14, -B$8)</f>
        <v/>
      </c>
      <c r="G14" s="110">
        <f>D14-F14</f>
        <v/>
      </c>
    </row>
    <row r="15" ht="24" customHeight="1" s="18">
      <c r="A15" s="68" t="inlineStr">
        <is>
          <t>5 años</t>
        </is>
      </c>
      <c r="B15" s="77" t="n">
        <v>60</v>
      </c>
      <c r="C15" s="78">
        <f>B$6*B15</f>
        <v/>
      </c>
      <c r="D15" s="95">
        <f>FV(B$9/12, B15, -B$6)</f>
        <v/>
      </c>
      <c r="E15" s="78">
        <f>B$8*B15</f>
        <v/>
      </c>
      <c r="F15" s="95">
        <f>FV(B$9/12, B15, -B$8)</f>
        <v/>
      </c>
      <c r="G15" s="111">
        <f>D15-F15</f>
        <v/>
      </c>
    </row>
    <row r="16" ht="24" customHeight="1" s="18">
      <c r="A16" s="68" t="inlineStr">
        <is>
          <t>10 años</t>
        </is>
      </c>
      <c r="B16" s="74" t="n">
        <v>120</v>
      </c>
      <c r="C16" s="75">
        <f>B$6*B16</f>
        <v/>
      </c>
      <c r="D16" s="109">
        <f>FV(B$9/12, B16, -B$6)</f>
        <v/>
      </c>
      <c r="E16" s="75">
        <f>B$8*B16</f>
        <v/>
      </c>
      <c r="F16" s="109">
        <f>FV(B$9/12, B16, -B$8)</f>
        <v/>
      </c>
      <c r="G16" s="110">
        <f>D16-F16</f>
        <v/>
      </c>
    </row>
    <row r="17" ht="24" customHeight="1" s="18">
      <c r="A17" s="68" t="inlineStr">
        <is>
          <t>25 años</t>
        </is>
      </c>
      <c r="B17" s="77" t="n">
        <v>300</v>
      </c>
      <c r="C17" s="78">
        <f>B$6*B17</f>
        <v/>
      </c>
      <c r="D17" s="95">
        <f>FV(B$9/12, B17, -B$6)</f>
        <v/>
      </c>
      <c r="E17" s="78">
        <f>B$8*B17</f>
        <v/>
      </c>
      <c r="F17" s="95">
        <f>FV(B$9/12, B17, -B$8)</f>
        <v/>
      </c>
      <c r="G17" s="111">
        <f>D17-F17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I15"/>
  <sheetViews>
    <sheetView showGridLines="0" workbookViewId="0">
      <selection activeCell="A1" sqref="A1"/>
    </sheetView>
  </sheetViews>
  <sheetFormatPr baseColWidth="8" defaultRowHeight="15" outlineLevelCol="0"/>
  <cols>
    <col width="3" customWidth="1" style="18" min="1" max="1"/>
    <col width="6" customWidth="1" style="18" min="2" max="2"/>
    <col width="6" customWidth="1" style="18" min="3" max="3"/>
    <col width="6" customWidth="1" style="18" min="4" max="4"/>
    <col width="6" customWidth="1" style="18" min="5" max="5"/>
    <col width="6" customWidth="1" style="18" min="6" max="6"/>
    <col width="6" customWidth="1" style="18" min="7" max="7"/>
    <col width="6" customWidth="1" style="18" min="8" max="8"/>
    <col width="6" customWidth="1" style="18" min="9" max="9"/>
    <col width="6" customWidth="1" style="18" min="10" max="10"/>
    <col width="6" customWidth="1" style="18" min="11" max="11"/>
    <col width="6" customWidth="1" style="18" min="12" max="12"/>
    <col width="6" customWidth="1" style="18" min="13" max="13"/>
    <col width="6" customWidth="1" style="18" min="14" max="14"/>
    <col width="6" customWidth="1" style="18" min="15" max="15"/>
    <col width="6" customWidth="1" style="18" min="16" max="16"/>
    <col width="6" customWidth="1" style="18" min="17" max="17"/>
    <col width="20" customWidth="1" style="18" min="18" max="18"/>
    <col width="20" customWidth="1" style="18" min="19" max="19"/>
    <col width="20" customWidth="1" style="18" min="20" max="20"/>
    <col width="20" customWidth="1" style="18" min="21" max="21"/>
    <col width="20" customWidth="1" style="18" min="22" max="22"/>
    <col width="20" customWidth="1" style="18" min="23" max="23"/>
    <col width="20" customWidth="1" style="18" min="24" max="24"/>
    <col width="20" customWidth="1" style="18" min="25" max="25"/>
    <col width="20" customWidth="1" style="18" min="26" max="26"/>
    <col width="20" customWidth="1" style="18" min="27" max="27"/>
    <col width="20" customWidth="1" style="18" min="28" max="28"/>
    <col width="20" customWidth="1" style="18" min="29" max="29"/>
    <col width="20" customWidth="1" style="18" min="30" max="30"/>
    <col width="20" customWidth="1" style="18" min="31" max="31"/>
    <col width="20" customWidth="1" style="18" min="32" max="32"/>
    <col width="20" customWidth="1" style="18" min="33" max="33"/>
    <col width="20" customWidth="1" style="18" min="34" max="34"/>
    <col width="20" customWidth="1" style="18" min="35" max="35"/>
    <col width="20" customWidth="1" style="18" min="36" max="36"/>
    <col width="20" customWidth="1" style="18" min="37" max="37"/>
  </cols>
  <sheetData>
    <row r="1" ht="40" customHeight="1" s="18">
      <c r="B1" s="19" t="inlineStr">
        <is>
          <t>CUADRO DE MANDO FINANCIERO PERSONAL INTERACTIVO</t>
        </is>
      </c>
    </row>
    <row r="2" ht="20" customHeight="1" s="18">
      <c r="B2" s="55" t="inlineStr">
        <is>
          <t>Perspectiva de Analista Financiero - Actualizado a 21/05/2026</t>
        </is>
      </c>
      <c r="R2" s="45" t="inlineStr">
        <is>
          <t>Mes</t>
        </is>
      </c>
      <c r="S2" s="45" t="inlineStr">
        <is>
          <t>Ingresos</t>
        </is>
      </c>
      <c r="T2" s="45" t="inlineStr">
        <is>
          <t>Gastos</t>
        </is>
      </c>
      <c r="U2" s="45" t="inlineStr">
        <is>
          <t>Ahorro Neto</t>
        </is>
      </c>
      <c r="V2" s="45" t="inlineStr">
        <is>
          <t>Tasa de Ahorro</t>
        </is>
      </c>
      <c r="W2" s="45" t="inlineStr">
        <is>
          <t>Vivienda</t>
        </is>
      </c>
      <c r="X2" s="45" t="inlineStr">
        <is>
          <t>Comida y bebida</t>
        </is>
      </c>
      <c r="Y2" s="45" t="inlineStr">
        <is>
          <t>Ocio / Viajes</t>
        </is>
      </c>
      <c r="Z2" s="45" t="inlineStr">
        <is>
          <t>Ocio / salidas</t>
        </is>
      </c>
      <c r="AA2" s="45" t="inlineStr">
        <is>
          <t>Tecnología / Otros</t>
        </is>
      </c>
      <c r="AB2" s="45" t="inlineStr">
        <is>
          <t>Transporte / Gasolina</t>
        </is>
      </c>
      <c r="AC2" s="45" t="inlineStr">
        <is>
          <t>Ocio / Eventos</t>
        </is>
      </c>
      <c r="AD2" s="45" t="inlineStr">
        <is>
          <t>Salud</t>
        </is>
      </c>
      <c r="AE2" s="45" t="inlineStr">
        <is>
          <t>Educación</t>
        </is>
      </c>
      <c r="AF2" s="45" t="inlineStr">
        <is>
          <t>Ropa</t>
        </is>
      </c>
      <c r="AG2" s="45" t="inlineStr">
        <is>
          <t>Suscripciones</t>
        </is>
      </c>
      <c r="AH2" s="45" t="inlineStr">
        <is>
          <t>Mascotas</t>
        </is>
      </c>
      <c r="AI2" s="45" t="inlineStr">
        <is>
          <t>Otros</t>
        </is>
      </c>
    </row>
    <row r="3" ht="26" customHeight="1" s="18">
      <c r="B3" s="112" t="inlineStr">
        <is>
          <t>Seleccione Año de Análisis:</t>
        </is>
      </c>
      <c r="C3" s="93" t="n">
        <v>2026</v>
      </c>
      <c r="R3" s="113" t="inlineStr">
        <is>
          <t>Enero</t>
        </is>
      </c>
      <c r="S3" s="114">
        <f>IF(INDIRECT("'Resumen Mensual "&amp;$C$3&amp;"'!B"&amp;3)="","",INDIRECT("'Resumen Mensual "&amp;$C$3&amp;"'!B"&amp;3))</f>
        <v/>
      </c>
      <c r="T3" s="114">
        <f>IF(INDIRECT("'Resumen Mensual "&amp;$C$3&amp;"'!C"&amp;3)="","",INDIRECT("'Resumen Mensual "&amp;$C$3&amp;"'!C"&amp;3))</f>
        <v/>
      </c>
      <c r="U3" s="114">
        <f>IF(INDIRECT("'Resumen Mensual "&amp;$C$3&amp;"'!D"&amp;3)="","",INDIRECT("'Resumen Mensual "&amp;$C$3&amp;"'!D"&amp;3))</f>
        <v/>
      </c>
      <c r="V3" s="115">
        <f>IF(INDIRECT("'Resumen Mensual "&amp;$C$3&amp;"'!E"&amp;3)="","",INDIRECT("'Resumen Mensual "&amp;$C$3&amp;"'!E"&amp;3))</f>
        <v/>
      </c>
      <c r="W3" s="114">
        <f>IF(INDIRECT("'Resumen Mensual "&amp;$C$3&amp;"'!F"&amp;3)="","",INDIRECT("'Resumen Mensual "&amp;$C$3&amp;"'!F"&amp;3))</f>
        <v/>
      </c>
      <c r="X3" s="114">
        <f>IF(INDIRECT("'Resumen Mensual "&amp;$C$3&amp;"'!G"&amp;3)="","",INDIRECT("'Resumen Mensual "&amp;$C$3&amp;"'!G"&amp;3))</f>
        <v/>
      </c>
      <c r="Y3" s="114">
        <f>IF(INDIRECT("'Resumen Mensual "&amp;$C$3&amp;"'!H"&amp;3)="","",INDIRECT("'Resumen Mensual "&amp;$C$3&amp;"'!H"&amp;3))</f>
        <v/>
      </c>
      <c r="Z3" s="114">
        <f>IF(INDIRECT("'Resumen Mensual "&amp;$C$3&amp;"'!I"&amp;3)="","",INDIRECT("'Resumen Mensual "&amp;$C$3&amp;"'!I"&amp;3))</f>
        <v/>
      </c>
      <c r="AA3" s="114">
        <f>IF(INDIRECT("'Resumen Mensual "&amp;$C$3&amp;"'!J"&amp;3)="","",INDIRECT("'Resumen Mensual "&amp;$C$3&amp;"'!J"&amp;3))</f>
        <v/>
      </c>
      <c r="AB3" s="114">
        <f>IF(INDIRECT("'Resumen Mensual "&amp;$C$3&amp;"'!K"&amp;3)="","",INDIRECT("'Resumen Mensual "&amp;$C$3&amp;"'!K"&amp;3))</f>
        <v/>
      </c>
      <c r="AC3" s="114">
        <f>IF(INDIRECT("'Resumen Mensual "&amp;$C$3&amp;"'!L"&amp;3)="","",INDIRECT("'Resumen Mensual "&amp;$C$3&amp;"'!L"&amp;3))</f>
        <v/>
      </c>
      <c r="AD3" s="114">
        <f>IF(INDIRECT("'Resumen Mensual "&amp;$C$3&amp;"'!M"&amp;3)="","",INDIRECT("'Resumen Mensual "&amp;$C$3&amp;"'!M"&amp;3))</f>
        <v/>
      </c>
      <c r="AE3" s="114">
        <f>IF(INDIRECT("'Resumen Mensual "&amp;$C$3&amp;"'!N"&amp;3)="","",INDIRECT("'Resumen Mensual "&amp;$C$3&amp;"'!N"&amp;3))</f>
        <v/>
      </c>
      <c r="AF3" s="114">
        <f>IF(INDIRECT("'Resumen Mensual "&amp;$C$3&amp;"'!O"&amp;3)="","",INDIRECT("'Resumen Mensual "&amp;$C$3&amp;"'!O"&amp;3))</f>
        <v/>
      </c>
      <c r="AG3" s="114">
        <f>IF(INDIRECT("'Resumen Mensual "&amp;$C$3&amp;"'!P"&amp;3)="","",INDIRECT("'Resumen Mensual "&amp;$C$3&amp;"'!P"&amp;3))</f>
        <v/>
      </c>
      <c r="AH3" s="114">
        <f>IF(INDIRECT("'Resumen Mensual "&amp;$C$3&amp;"'!Q"&amp;3)="","",INDIRECT("'Resumen Mensual "&amp;$C$3&amp;"'!Q"&amp;3))</f>
        <v/>
      </c>
      <c r="AI3" s="114">
        <f>IF(INDIRECT("'Resumen Mensual "&amp;$C$3&amp;"'!R"&amp;3)="","",INDIRECT("'Resumen Mensual "&amp;$C$3&amp;"'!R"&amp;3))</f>
        <v/>
      </c>
    </row>
    <row r="4" ht="15" customHeight="1" s="18">
      <c r="B4" s="79" t="inlineStr">
        <is>
          <t>INGRESOS ACUMULADOS</t>
        </is>
      </c>
      <c r="C4" s="80" t="n"/>
      <c r="D4" s="80" t="n"/>
      <c r="F4" s="79" t="inlineStr">
        <is>
          <t>GASTOS ACUMULADOS</t>
        </is>
      </c>
      <c r="G4" s="80" t="n"/>
      <c r="H4" s="80" t="n"/>
      <c r="J4" s="79" t="inlineStr">
        <is>
          <t>AHORRO NETO ACUMULADO</t>
        </is>
      </c>
      <c r="K4" s="80" t="n"/>
      <c r="L4" s="80" t="n"/>
      <c r="N4" s="79" t="inlineStr">
        <is>
          <t>TASA DE AHORRO PROMEDIO</t>
        </is>
      </c>
      <c r="O4" s="80" t="n"/>
      <c r="P4" s="80" t="n"/>
      <c r="R4" s="113" t="inlineStr">
        <is>
          <t>Febrero</t>
        </is>
      </c>
      <c r="S4" s="114">
        <f>IF(INDIRECT("'Resumen Mensual "&amp;$C$3&amp;"'!B"&amp;4)="","",INDIRECT("'Resumen Mensual "&amp;$C$3&amp;"'!B"&amp;4))</f>
        <v/>
      </c>
      <c r="T4" s="114">
        <f>IF(INDIRECT("'Resumen Mensual "&amp;$C$3&amp;"'!C"&amp;4)="","",INDIRECT("'Resumen Mensual "&amp;$C$3&amp;"'!C"&amp;4))</f>
        <v/>
      </c>
      <c r="U4" s="114">
        <f>IF(INDIRECT("'Resumen Mensual "&amp;$C$3&amp;"'!D"&amp;4)="","",INDIRECT("'Resumen Mensual "&amp;$C$3&amp;"'!D"&amp;4))</f>
        <v/>
      </c>
      <c r="V4" s="115">
        <f>IF(INDIRECT("'Resumen Mensual "&amp;$C$3&amp;"'!E"&amp;4)="","",INDIRECT("'Resumen Mensual "&amp;$C$3&amp;"'!E"&amp;4))</f>
        <v/>
      </c>
      <c r="W4" s="114">
        <f>IF(INDIRECT("'Resumen Mensual "&amp;$C$3&amp;"'!F"&amp;4)="","",INDIRECT("'Resumen Mensual "&amp;$C$3&amp;"'!F"&amp;4))</f>
        <v/>
      </c>
      <c r="X4" s="114">
        <f>IF(INDIRECT("'Resumen Mensual "&amp;$C$3&amp;"'!G"&amp;4)="","",INDIRECT("'Resumen Mensual "&amp;$C$3&amp;"'!G"&amp;4))</f>
        <v/>
      </c>
      <c r="Y4" s="114">
        <f>IF(INDIRECT("'Resumen Mensual "&amp;$C$3&amp;"'!H"&amp;4)="","",INDIRECT("'Resumen Mensual "&amp;$C$3&amp;"'!H"&amp;4))</f>
        <v/>
      </c>
      <c r="Z4" s="114">
        <f>IF(INDIRECT("'Resumen Mensual "&amp;$C$3&amp;"'!I"&amp;4)="","",INDIRECT("'Resumen Mensual "&amp;$C$3&amp;"'!I"&amp;4))</f>
        <v/>
      </c>
      <c r="AA4" s="114">
        <f>IF(INDIRECT("'Resumen Mensual "&amp;$C$3&amp;"'!J"&amp;4)="","",INDIRECT("'Resumen Mensual "&amp;$C$3&amp;"'!J"&amp;4))</f>
        <v/>
      </c>
      <c r="AB4" s="114">
        <f>IF(INDIRECT("'Resumen Mensual "&amp;$C$3&amp;"'!K"&amp;4)="","",INDIRECT("'Resumen Mensual "&amp;$C$3&amp;"'!K"&amp;4))</f>
        <v/>
      </c>
      <c r="AC4" s="114">
        <f>IF(INDIRECT("'Resumen Mensual "&amp;$C$3&amp;"'!L"&amp;4)="","",INDIRECT("'Resumen Mensual "&amp;$C$3&amp;"'!L"&amp;4))</f>
        <v/>
      </c>
      <c r="AD4" s="114">
        <f>IF(INDIRECT("'Resumen Mensual "&amp;$C$3&amp;"'!M"&amp;4)="","",INDIRECT("'Resumen Mensual "&amp;$C$3&amp;"'!M"&amp;4))</f>
        <v/>
      </c>
      <c r="AE4" s="114">
        <f>IF(INDIRECT("'Resumen Mensual "&amp;$C$3&amp;"'!N"&amp;4)="","",INDIRECT("'Resumen Mensual "&amp;$C$3&amp;"'!N"&amp;4))</f>
        <v/>
      </c>
      <c r="AF4" s="114">
        <f>IF(INDIRECT("'Resumen Mensual "&amp;$C$3&amp;"'!O"&amp;4)="","",INDIRECT("'Resumen Mensual "&amp;$C$3&amp;"'!O"&amp;4))</f>
        <v/>
      </c>
      <c r="AG4" s="114">
        <f>IF(INDIRECT("'Resumen Mensual "&amp;$C$3&amp;"'!P"&amp;4)="","",INDIRECT("'Resumen Mensual "&amp;$C$3&amp;"'!P"&amp;4))</f>
        <v/>
      </c>
      <c r="AH4" s="114">
        <f>IF(INDIRECT("'Resumen Mensual "&amp;$C$3&amp;"'!Q"&amp;4)="","",INDIRECT("'Resumen Mensual "&amp;$C$3&amp;"'!Q"&amp;4))</f>
        <v/>
      </c>
      <c r="AI4" s="114">
        <f>IF(INDIRECT("'Resumen Mensual "&amp;$C$3&amp;"'!R"&amp;4)="","",INDIRECT("'Resumen Mensual "&amp;$C$3&amp;"'!R"&amp;4))</f>
        <v/>
      </c>
    </row>
    <row r="5" ht="30" customHeight="1" s="18">
      <c r="B5" s="81">
        <f>S15</f>
        <v/>
      </c>
      <c r="C5" s="80" t="n"/>
      <c r="D5" s="80" t="n"/>
      <c r="F5" s="81">
        <f>T15</f>
        <v/>
      </c>
      <c r="G5" s="80" t="n"/>
      <c r="H5" s="80" t="n"/>
      <c r="J5" s="81">
        <f>U15</f>
        <v/>
      </c>
      <c r="K5" s="80" t="n"/>
      <c r="L5" s="80" t="n"/>
      <c r="N5" s="82">
        <f>V15</f>
        <v/>
      </c>
      <c r="O5" s="80" t="n"/>
      <c r="P5" s="80" t="n"/>
      <c r="R5" s="113" t="inlineStr">
        <is>
          <t>Marzo</t>
        </is>
      </c>
      <c r="S5" s="114">
        <f>IF(INDIRECT("'Resumen Mensual "&amp;$C$3&amp;"'!B"&amp;5)="","",INDIRECT("'Resumen Mensual "&amp;$C$3&amp;"'!B"&amp;5))</f>
        <v/>
      </c>
      <c r="T5" s="114">
        <f>IF(INDIRECT("'Resumen Mensual "&amp;$C$3&amp;"'!C"&amp;5)="","",INDIRECT("'Resumen Mensual "&amp;$C$3&amp;"'!C"&amp;5))</f>
        <v/>
      </c>
      <c r="U5" s="114">
        <f>IF(INDIRECT("'Resumen Mensual "&amp;$C$3&amp;"'!D"&amp;5)="","",INDIRECT("'Resumen Mensual "&amp;$C$3&amp;"'!D"&amp;5))</f>
        <v/>
      </c>
      <c r="V5" s="115">
        <f>IF(INDIRECT("'Resumen Mensual "&amp;$C$3&amp;"'!E"&amp;5)="","",INDIRECT("'Resumen Mensual "&amp;$C$3&amp;"'!E"&amp;5))</f>
        <v/>
      </c>
      <c r="W5" s="114">
        <f>IF(INDIRECT("'Resumen Mensual "&amp;$C$3&amp;"'!F"&amp;5)="","",INDIRECT("'Resumen Mensual "&amp;$C$3&amp;"'!F"&amp;5))</f>
        <v/>
      </c>
      <c r="X5" s="114">
        <f>IF(INDIRECT("'Resumen Mensual "&amp;$C$3&amp;"'!G"&amp;5)="","",INDIRECT("'Resumen Mensual "&amp;$C$3&amp;"'!G"&amp;5))</f>
        <v/>
      </c>
      <c r="Y5" s="114">
        <f>IF(INDIRECT("'Resumen Mensual "&amp;$C$3&amp;"'!H"&amp;5)="","",INDIRECT("'Resumen Mensual "&amp;$C$3&amp;"'!H"&amp;5))</f>
        <v/>
      </c>
      <c r="Z5" s="114">
        <f>IF(INDIRECT("'Resumen Mensual "&amp;$C$3&amp;"'!I"&amp;5)="","",INDIRECT("'Resumen Mensual "&amp;$C$3&amp;"'!I"&amp;5))</f>
        <v/>
      </c>
      <c r="AA5" s="114">
        <f>IF(INDIRECT("'Resumen Mensual "&amp;$C$3&amp;"'!J"&amp;5)="","",INDIRECT("'Resumen Mensual "&amp;$C$3&amp;"'!J"&amp;5))</f>
        <v/>
      </c>
      <c r="AB5" s="114">
        <f>IF(INDIRECT("'Resumen Mensual "&amp;$C$3&amp;"'!K"&amp;5)="","",INDIRECT("'Resumen Mensual "&amp;$C$3&amp;"'!K"&amp;5))</f>
        <v/>
      </c>
      <c r="AC5" s="114">
        <f>IF(INDIRECT("'Resumen Mensual "&amp;$C$3&amp;"'!L"&amp;5)="","",INDIRECT("'Resumen Mensual "&amp;$C$3&amp;"'!L"&amp;5))</f>
        <v/>
      </c>
      <c r="AD5" s="114">
        <f>IF(INDIRECT("'Resumen Mensual "&amp;$C$3&amp;"'!M"&amp;5)="","",INDIRECT("'Resumen Mensual "&amp;$C$3&amp;"'!M"&amp;5))</f>
        <v/>
      </c>
      <c r="AE5" s="114">
        <f>IF(INDIRECT("'Resumen Mensual "&amp;$C$3&amp;"'!N"&amp;5)="","",INDIRECT("'Resumen Mensual "&amp;$C$3&amp;"'!N"&amp;5))</f>
        <v/>
      </c>
      <c r="AF5" s="114">
        <f>IF(INDIRECT("'Resumen Mensual "&amp;$C$3&amp;"'!O"&amp;5)="","",INDIRECT("'Resumen Mensual "&amp;$C$3&amp;"'!O"&amp;5))</f>
        <v/>
      </c>
      <c r="AG5" s="114">
        <f>IF(INDIRECT("'Resumen Mensual "&amp;$C$3&amp;"'!P"&amp;5)="","",INDIRECT("'Resumen Mensual "&amp;$C$3&amp;"'!P"&amp;5))</f>
        <v/>
      </c>
      <c r="AH5" s="114">
        <f>IF(INDIRECT("'Resumen Mensual "&amp;$C$3&amp;"'!Q"&amp;5)="","",INDIRECT("'Resumen Mensual "&amp;$C$3&amp;"'!Q"&amp;5))</f>
        <v/>
      </c>
      <c r="AI5" s="114">
        <f>IF(INDIRECT("'Resumen Mensual "&amp;$C$3&amp;"'!R"&amp;5)="","",INDIRECT("'Resumen Mensual "&amp;$C$3&amp;"'!R"&amp;5))</f>
        <v/>
      </c>
    </row>
    <row r="6">
      <c r="R6" s="113" t="inlineStr">
        <is>
          <t>Abril</t>
        </is>
      </c>
      <c r="S6" s="114">
        <f>IF(INDIRECT("'Resumen Mensual "&amp;$C$3&amp;"'!B"&amp;6)="","",INDIRECT("'Resumen Mensual "&amp;$C$3&amp;"'!B"&amp;6))</f>
        <v/>
      </c>
      <c r="T6" s="114">
        <f>IF(INDIRECT("'Resumen Mensual "&amp;$C$3&amp;"'!C"&amp;6)="","",INDIRECT("'Resumen Mensual "&amp;$C$3&amp;"'!C"&amp;6))</f>
        <v/>
      </c>
      <c r="U6" s="114">
        <f>IF(INDIRECT("'Resumen Mensual "&amp;$C$3&amp;"'!D"&amp;6)="","",INDIRECT("'Resumen Mensual "&amp;$C$3&amp;"'!D"&amp;6))</f>
        <v/>
      </c>
      <c r="V6" s="115">
        <f>IF(INDIRECT("'Resumen Mensual "&amp;$C$3&amp;"'!E"&amp;6)="","",INDIRECT("'Resumen Mensual "&amp;$C$3&amp;"'!E"&amp;6))</f>
        <v/>
      </c>
      <c r="W6" s="114">
        <f>IF(INDIRECT("'Resumen Mensual "&amp;$C$3&amp;"'!F"&amp;6)="","",INDIRECT("'Resumen Mensual "&amp;$C$3&amp;"'!F"&amp;6))</f>
        <v/>
      </c>
      <c r="X6" s="114">
        <f>IF(INDIRECT("'Resumen Mensual "&amp;$C$3&amp;"'!G"&amp;6)="","",INDIRECT("'Resumen Mensual "&amp;$C$3&amp;"'!G"&amp;6))</f>
        <v/>
      </c>
      <c r="Y6" s="114">
        <f>IF(INDIRECT("'Resumen Mensual "&amp;$C$3&amp;"'!H"&amp;6)="","",INDIRECT("'Resumen Mensual "&amp;$C$3&amp;"'!H"&amp;6))</f>
        <v/>
      </c>
      <c r="Z6" s="114">
        <f>IF(INDIRECT("'Resumen Mensual "&amp;$C$3&amp;"'!I"&amp;6)="","",INDIRECT("'Resumen Mensual "&amp;$C$3&amp;"'!I"&amp;6))</f>
        <v/>
      </c>
      <c r="AA6" s="114">
        <f>IF(INDIRECT("'Resumen Mensual "&amp;$C$3&amp;"'!J"&amp;6)="","",INDIRECT("'Resumen Mensual "&amp;$C$3&amp;"'!J"&amp;6))</f>
        <v/>
      </c>
      <c r="AB6" s="114">
        <f>IF(INDIRECT("'Resumen Mensual "&amp;$C$3&amp;"'!K"&amp;6)="","",INDIRECT("'Resumen Mensual "&amp;$C$3&amp;"'!K"&amp;6))</f>
        <v/>
      </c>
      <c r="AC6" s="114">
        <f>IF(INDIRECT("'Resumen Mensual "&amp;$C$3&amp;"'!L"&amp;6)="","",INDIRECT("'Resumen Mensual "&amp;$C$3&amp;"'!L"&amp;6))</f>
        <v/>
      </c>
      <c r="AD6" s="114">
        <f>IF(INDIRECT("'Resumen Mensual "&amp;$C$3&amp;"'!M"&amp;6)="","",INDIRECT("'Resumen Mensual "&amp;$C$3&amp;"'!M"&amp;6))</f>
        <v/>
      </c>
      <c r="AE6" s="114">
        <f>IF(INDIRECT("'Resumen Mensual "&amp;$C$3&amp;"'!N"&amp;6)="","",INDIRECT("'Resumen Mensual "&amp;$C$3&amp;"'!N"&amp;6))</f>
        <v/>
      </c>
      <c r="AF6" s="114">
        <f>IF(INDIRECT("'Resumen Mensual "&amp;$C$3&amp;"'!O"&amp;6)="","",INDIRECT("'Resumen Mensual "&amp;$C$3&amp;"'!O"&amp;6))</f>
        <v/>
      </c>
      <c r="AG6" s="114">
        <f>IF(INDIRECT("'Resumen Mensual "&amp;$C$3&amp;"'!P"&amp;6)="","",INDIRECT("'Resumen Mensual "&amp;$C$3&amp;"'!P"&amp;6))</f>
        <v/>
      </c>
      <c r="AH6" s="114">
        <f>IF(INDIRECT("'Resumen Mensual "&amp;$C$3&amp;"'!Q"&amp;6)="","",INDIRECT("'Resumen Mensual "&amp;$C$3&amp;"'!Q"&amp;6))</f>
        <v/>
      </c>
      <c r="AI6" s="114">
        <f>IF(INDIRECT("'Resumen Mensual "&amp;$C$3&amp;"'!R"&amp;6)="","",INDIRECT("'Resumen Mensual "&amp;$C$3&amp;"'!R"&amp;6))</f>
        <v/>
      </c>
    </row>
    <row r="7">
      <c r="R7" s="113" t="inlineStr">
        <is>
          <t>Mayo</t>
        </is>
      </c>
      <c r="S7" s="114">
        <f>IF(INDIRECT("'Resumen Mensual "&amp;$C$3&amp;"'!B"&amp;7)="","",INDIRECT("'Resumen Mensual "&amp;$C$3&amp;"'!B"&amp;7))</f>
        <v/>
      </c>
      <c r="T7" s="114">
        <f>IF(INDIRECT("'Resumen Mensual "&amp;$C$3&amp;"'!C"&amp;7)="","",INDIRECT("'Resumen Mensual "&amp;$C$3&amp;"'!C"&amp;7))</f>
        <v/>
      </c>
      <c r="U7" s="114">
        <f>IF(INDIRECT("'Resumen Mensual "&amp;$C$3&amp;"'!D"&amp;7)="","",INDIRECT("'Resumen Mensual "&amp;$C$3&amp;"'!D"&amp;7))</f>
        <v/>
      </c>
      <c r="V7" s="115">
        <f>IF(INDIRECT("'Resumen Mensual "&amp;$C$3&amp;"'!E"&amp;7)="","",INDIRECT("'Resumen Mensual "&amp;$C$3&amp;"'!E"&amp;7))</f>
        <v/>
      </c>
      <c r="W7" s="114">
        <f>IF(INDIRECT("'Resumen Mensual "&amp;$C$3&amp;"'!F"&amp;7)="","",INDIRECT("'Resumen Mensual "&amp;$C$3&amp;"'!F"&amp;7))</f>
        <v/>
      </c>
      <c r="X7" s="114">
        <f>IF(INDIRECT("'Resumen Mensual "&amp;$C$3&amp;"'!G"&amp;7)="","",INDIRECT("'Resumen Mensual "&amp;$C$3&amp;"'!G"&amp;7))</f>
        <v/>
      </c>
      <c r="Y7" s="114">
        <f>IF(INDIRECT("'Resumen Mensual "&amp;$C$3&amp;"'!H"&amp;7)="","",INDIRECT("'Resumen Mensual "&amp;$C$3&amp;"'!H"&amp;7))</f>
        <v/>
      </c>
      <c r="Z7" s="114">
        <f>IF(INDIRECT("'Resumen Mensual "&amp;$C$3&amp;"'!I"&amp;7)="","",INDIRECT("'Resumen Mensual "&amp;$C$3&amp;"'!I"&amp;7))</f>
        <v/>
      </c>
      <c r="AA7" s="114">
        <f>IF(INDIRECT("'Resumen Mensual "&amp;$C$3&amp;"'!J"&amp;7)="","",INDIRECT("'Resumen Mensual "&amp;$C$3&amp;"'!J"&amp;7))</f>
        <v/>
      </c>
      <c r="AB7" s="114">
        <f>IF(INDIRECT("'Resumen Mensual "&amp;$C$3&amp;"'!K"&amp;7)="","",INDIRECT("'Resumen Mensual "&amp;$C$3&amp;"'!K"&amp;7))</f>
        <v/>
      </c>
      <c r="AC7" s="114">
        <f>IF(INDIRECT("'Resumen Mensual "&amp;$C$3&amp;"'!L"&amp;7)="","",INDIRECT("'Resumen Mensual "&amp;$C$3&amp;"'!L"&amp;7))</f>
        <v/>
      </c>
      <c r="AD7" s="114">
        <f>IF(INDIRECT("'Resumen Mensual "&amp;$C$3&amp;"'!M"&amp;7)="","",INDIRECT("'Resumen Mensual "&amp;$C$3&amp;"'!M"&amp;7))</f>
        <v/>
      </c>
      <c r="AE7" s="114">
        <f>IF(INDIRECT("'Resumen Mensual "&amp;$C$3&amp;"'!N"&amp;7)="","",INDIRECT("'Resumen Mensual "&amp;$C$3&amp;"'!N"&amp;7))</f>
        <v/>
      </c>
      <c r="AF7" s="114">
        <f>IF(INDIRECT("'Resumen Mensual "&amp;$C$3&amp;"'!O"&amp;7)="","",INDIRECT("'Resumen Mensual "&amp;$C$3&amp;"'!O"&amp;7))</f>
        <v/>
      </c>
      <c r="AG7" s="114">
        <f>IF(INDIRECT("'Resumen Mensual "&amp;$C$3&amp;"'!P"&amp;7)="","",INDIRECT("'Resumen Mensual "&amp;$C$3&amp;"'!P"&amp;7))</f>
        <v/>
      </c>
      <c r="AH7" s="114">
        <f>IF(INDIRECT("'Resumen Mensual "&amp;$C$3&amp;"'!Q"&amp;7)="","",INDIRECT("'Resumen Mensual "&amp;$C$3&amp;"'!Q"&amp;7))</f>
        <v/>
      </c>
      <c r="AI7" s="114">
        <f>IF(INDIRECT("'Resumen Mensual "&amp;$C$3&amp;"'!R"&amp;7)="","",INDIRECT("'Resumen Mensual "&amp;$C$3&amp;"'!R"&amp;7))</f>
        <v/>
      </c>
    </row>
    <row r="8">
      <c r="R8" s="113" t="inlineStr">
        <is>
          <t>Junio</t>
        </is>
      </c>
      <c r="S8" s="114">
        <f>IF(INDIRECT("'Resumen Mensual "&amp;$C$3&amp;"'!B"&amp;8)="","",INDIRECT("'Resumen Mensual "&amp;$C$3&amp;"'!B"&amp;8))</f>
        <v/>
      </c>
      <c r="T8" s="114">
        <f>IF(INDIRECT("'Resumen Mensual "&amp;$C$3&amp;"'!C"&amp;8)="","",INDIRECT("'Resumen Mensual "&amp;$C$3&amp;"'!C"&amp;8))</f>
        <v/>
      </c>
      <c r="U8" s="114">
        <f>IF(INDIRECT("'Resumen Mensual "&amp;$C$3&amp;"'!D"&amp;8)="","",INDIRECT("'Resumen Mensual "&amp;$C$3&amp;"'!D"&amp;8))</f>
        <v/>
      </c>
      <c r="V8" s="115">
        <f>IF(INDIRECT("'Resumen Mensual "&amp;$C$3&amp;"'!E"&amp;8)="","",INDIRECT("'Resumen Mensual "&amp;$C$3&amp;"'!E"&amp;8))</f>
        <v/>
      </c>
      <c r="W8" s="114">
        <f>IF(INDIRECT("'Resumen Mensual "&amp;$C$3&amp;"'!F"&amp;8)="","",INDIRECT("'Resumen Mensual "&amp;$C$3&amp;"'!F"&amp;8))</f>
        <v/>
      </c>
      <c r="X8" s="114">
        <f>IF(INDIRECT("'Resumen Mensual "&amp;$C$3&amp;"'!G"&amp;8)="","",INDIRECT("'Resumen Mensual "&amp;$C$3&amp;"'!G"&amp;8))</f>
        <v/>
      </c>
      <c r="Y8" s="114">
        <f>IF(INDIRECT("'Resumen Mensual "&amp;$C$3&amp;"'!H"&amp;8)="","",INDIRECT("'Resumen Mensual "&amp;$C$3&amp;"'!H"&amp;8))</f>
        <v/>
      </c>
      <c r="Z8" s="114">
        <f>IF(INDIRECT("'Resumen Mensual "&amp;$C$3&amp;"'!I"&amp;8)="","",INDIRECT("'Resumen Mensual "&amp;$C$3&amp;"'!I"&amp;8))</f>
        <v/>
      </c>
      <c r="AA8" s="114">
        <f>IF(INDIRECT("'Resumen Mensual "&amp;$C$3&amp;"'!J"&amp;8)="","",INDIRECT("'Resumen Mensual "&amp;$C$3&amp;"'!J"&amp;8))</f>
        <v/>
      </c>
      <c r="AB8" s="114">
        <f>IF(INDIRECT("'Resumen Mensual "&amp;$C$3&amp;"'!K"&amp;8)="","",INDIRECT("'Resumen Mensual "&amp;$C$3&amp;"'!K"&amp;8))</f>
        <v/>
      </c>
      <c r="AC8" s="114">
        <f>IF(INDIRECT("'Resumen Mensual "&amp;$C$3&amp;"'!L"&amp;8)="","",INDIRECT("'Resumen Mensual "&amp;$C$3&amp;"'!L"&amp;8))</f>
        <v/>
      </c>
      <c r="AD8" s="114">
        <f>IF(INDIRECT("'Resumen Mensual "&amp;$C$3&amp;"'!M"&amp;8)="","",INDIRECT("'Resumen Mensual "&amp;$C$3&amp;"'!M"&amp;8))</f>
        <v/>
      </c>
      <c r="AE8" s="114">
        <f>IF(INDIRECT("'Resumen Mensual "&amp;$C$3&amp;"'!N"&amp;8)="","",INDIRECT("'Resumen Mensual "&amp;$C$3&amp;"'!N"&amp;8))</f>
        <v/>
      </c>
      <c r="AF8" s="114">
        <f>IF(INDIRECT("'Resumen Mensual "&amp;$C$3&amp;"'!O"&amp;8)="","",INDIRECT("'Resumen Mensual "&amp;$C$3&amp;"'!O"&amp;8))</f>
        <v/>
      </c>
      <c r="AG8" s="114">
        <f>IF(INDIRECT("'Resumen Mensual "&amp;$C$3&amp;"'!P"&amp;8)="","",INDIRECT("'Resumen Mensual "&amp;$C$3&amp;"'!P"&amp;8))</f>
        <v/>
      </c>
      <c r="AH8" s="114">
        <f>IF(INDIRECT("'Resumen Mensual "&amp;$C$3&amp;"'!Q"&amp;8)="","",INDIRECT("'Resumen Mensual "&amp;$C$3&amp;"'!Q"&amp;8))</f>
        <v/>
      </c>
      <c r="AI8" s="114">
        <f>IF(INDIRECT("'Resumen Mensual "&amp;$C$3&amp;"'!R"&amp;8)="","",INDIRECT("'Resumen Mensual "&amp;$C$3&amp;"'!R"&amp;8))</f>
        <v/>
      </c>
    </row>
    <row r="9">
      <c r="R9" s="113" t="inlineStr">
        <is>
          <t>Julio</t>
        </is>
      </c>
      <c r="S9" s="114">
        <f>IF(INDIRECT("'Resumen Mensual "&amp;$C$3&amp;"'!B"&amp;9)="","",INDIRECT("'Resumen Mensual "&amp;$C$3&amp;"'!B"&amp;9))</f>
        <v/>
      </c>
      <c r="T9" s="114">
        <f>IF(INDIRECT("'Resumen Mensual "&amp;$C$3&amp;"'!C"&amp;9)="","",INDIRECT("'Resumen Mensual "&amp;$C$3&amp;"'!C"&amp;9))</f>
        <v/>
      </c>
      <c r="U9" s="114">
        <f>IF(INDIRECT("'Resumen Mensual "&amp;$C$3&amp;"'!D"&amp;9)="","",INDIRECT("'Resumen Mensual "&amp;$C$3&amp;"'!D"&amp;9))</f>
        <v/>
      </c>
      <c r="V9" s="115">
        <f>IF(INDIRECT("'Resumen Mensual "&amp;$C$3&amp;"'!E"&amp;9)="","",INDIRECT("'Resumen Mensual "&amp;$C$3&amp;"'!E"&amp;9))</f>
        <v/>
      </c>
      <c r="W9" s="114">
        <f>IF(INDIRECT("'Resumen Mensual "&amp;$C$3&amp;"'!F"&amp;9)="","",INDIRECT("'Resumen Mensual "&amp;$C$3&amp;"'!F"&amp;9))</f>
        <v/>
      </c>
      <c r="X9" s="114">
        <f>IF(INDIRECT("'Resumen Mensual "&amp;$C$3&amp;"'!G"&amp;9)="","",INDIRECT("'Resumen Mensual "&amp;$C$3&amp;"'!G"&amp;9))</f>
        <v/>
      </c>
      <c r="Y9" s="114">
        <f>IF(INDIRECT("'Resumen Mensual "&amp;$C$3&amp;"'!H"&amp;9)="","",INDIRECT("'Resumen Mensual "&amp;$C$3&amp;"'!H"&amp;9))</f>
        <v/>
      </c>
      <c r="Z9" s="114">
        <f>IF(INDIRECT("'Resumen Mensual "&amp;$C$3&amp;"'!I"&amp;9)="","",INDIRECT("'Resumen Mensual "&amp;$C$3&amp;"'!I"&amp;9))</f>
        <v/>
      </c>
      <c r="AA9" s="114">
        <f>IF(INDIRECT("'Resumen Mensual "&amp;$C$3&amp;"'!J"&amp;9)="","",INDIRECT("'Resumen Mensual "&amp;$C$3&amp;"'!J"&amp;9))</f>
        <v/>
      </c>
      <c r="AB9" s="114">
        <f>IF(INDIRECT("'Resumen Mensual "&amp;$C$3&amp;"'!K"&amp;9)="","",INDIRECT("'Resumen Mensual "&amp;$C$3&amp;"'!K"&amp;9))</f>
        <v/>
      </c>
      <c r="AC9" s="114">
        <f>IF(INDIRECT("'Resumen Mensual "&amp;$C$3&amp;"'!L"&amp;9)="","",INDIRECT("'Resumen Mensual "&amp;$C$3&amp;"'!L"&amp;9))</f>
        <v/>
      </c>
      <c r="AD9" s="114">
        <f>IF(INDIRECT("'Resumen Mensual "&amp;$C$3&amp;"'!M"&amp;9)="","",INDIRECT("'Resumen Mensual "&amp;$C$3&amp;"'!M"&amp;9))</f>
        <v/>
      </c>
      <c r="AE9" s="114">
        <f>IF(INDIRECT("'Resumen Mensual "&amp;$C$3&amp;"'!N"&amp;9)="","",INDIRECT("'Resumen Mensual "&amp;$C$3&amp;"'!N"&amp;9))</f>
        <v/>
      </c>
      <c r="AF9" s="114">
        <f>IF(INDIRECT("'Resumen Mensual "&amp;$C$3&amp;"'!O"&amp;9)="","",INDIRECT("'Resumen Mensual "&amp;$C$3&amp;"'!O"&amp;9))</f>
        <v/>
      </c>
      <c r="AG9" s="114">
        <f>IF(INDIRECT("'Resumen Mensual "&amp;$C$3&amp;"'!P"&amp;9)="","",INDIRECT("'Resumen Mensual "&amp;$C$3&amp;"'!P"&amp;9))</f>
        <v/>
      </c>
      <c r="AH9" s="114">
        <f>IF(INDIRECT("'Resumen Mensual "&amp;$C$3&amp;"'!Q"&amp;9)="","",INDIRECT("'Resumen Mensual "&amp;$C$3&amp;"'!Q"&amp;9))</f>
        <v/>
      </c>
      <c r="AI9" s="114">
        <f>IF(INDIRECT("'Resumen Mensual "&amp;$C$3&amp;"'!R"&amp;9)="","",INDIRECT("'Resumen Mensual "&amp;$C$3&amp;"'!R"&amp;9))</f>
        <v/>
      </c>
    </row>
    <row r="10">
      <c r="R10" s="113" t="inlineStr">
        <is>
          <t>Agosto</t>
        </is>
      </c>
      <c r="S10" s="114">
        <f>IF(INDIRECT("'Resumen Mensual "&amp;$C$3&amp;"'!B"&amp;10)="","",INDIRECT("'Resumen Mensual "&amp;$C$3&amp;"'!B"&amp;10))</f>
        <v/>
      </c>
      <c r="T10" s="114">
        <f>IF(INDIRECT("'Resumen Mensual "&amp;$C$3&amp;"'!C"&amp;10)="","",INDIRECT("'Resumen Mensual "&amp;$C$3&amp;"'!C"&amp;10))</f>
        <v/>
      </c>
      <c r="U10" s="114">
        <f>IF(INDIRECT("'Resumen Mensual "&amp;$C$3&amp;"'!D"&amp;10)="","",INDIRECT("'Resumen Mensual "&amp;$C$3&amp;"'!D"&amp;10))</f>
        <v/>
      </c>
      <c r="V10" s="115">
        <f>IF(INDIRECT("'Resumen Mensual "&amp;$C$3&amp;"'!E"&amp;10)="","",INDIRECT("'Resumen Mensual "&amp;$C$3&amp;"'!E"&amp;10))</f>
        <v/>
      </c>
      <c r="W10" s="114">
        <f>IF(INDIRECT("'Resumen Mensual "&amp;$C$3&amp;"'!F"&amp;10)="","",INDIRECT("'Resumen Mensual "&amp;$C$3&amp;"'!F"&amp;10))</f>
        <v/>
      </c>
      <c r="X10" s="114">
        <f>IF(INDIRECT("'Resumen Mensual "&amp;$C$3&amp;"'!G"&amp;10)="","",INDIRECT("'Resumen Mensual "&amp;$C$3&amp;"'!G"&amp;10))</f>
        <v/>
      </c>
      <c r="Y10" s="114">
        <f>IF(INDIRECT("'Resumen Mensual "&amp;$C$3&amp;"'!H"&amp;10)="","",INDIRECT("'Resumen Mensual "&amp;$C$3&amp;"'!H"&amp;10))</f>
        <v/>
      </c>
      <c r="Z10" s="114">
        <f>IF(INDIRECT("'Resumen Mensual "&amp;$C$3&amp;"'!I"&amp;10)="","",INDIRECT("'Resumen Mensual "&amp;$C$3&amp;"'!I"&amp;10))</f>
        <v/>
      </c>
      <c r="AA10" s="114">
        <f>IF(INDIRECT("'Resumen Mensual "&amp;$C$3&amp;"'!J"&amp;10)="","",INDIRECT("'Resumen Mensual "&amp;$C$3&amp;"'!J"&amp;10))</f>
        <v/>
      </c>
      <c r="AB10" s="114">
        <f>IF(INDIRECT("'Resumen Mensual "&amp;$C$3&amp;"'!K"&amp;10)="","",INDIRECT("'Resumen Mensual "&amp;$C$3&amp;"'!K"&amp;10))</f>
        <v/>
      </c>
      <c r="AC10" s="114">
        <f>IF(INDIRECT("'Resumen Mensual "&amp;$C$3&amp;"'!L"&amp;10)="","",INDIRECT("'Resumen Mensual "&amp;$C$3&amp;"'!L"&amp;10))</f>
        <v/>
      </c>
      <c r="AD10" s="114">
        <f>IF(INDIRECT("'Resumen Mensual "&amp;$C$3&amp;"'!M"&amp;10)="","",INDIRECT("'Resumen Mensual "&amp;$C$3&amp;"'!M"&amp;10))</f>
        <v/>
      </c>
      <c r="AE10" s="114">
        <f>IF(INDIRECT("'Resumen Mensual "&amp;$C$3&amp;"'!N"&amp;10)="","",INDIRECT("'Resumen Mensual "&amp;$C$3&amp;"'!N"&amp;10))</f>
        <v/>
      </c>
      <c r="AF10" s="114">
        <f>IF(INDIRECT("'Resumen Mensual "&amp;$C$3&amp;"'!O"&amp;10)="","",INDIRECT("'Resumen Mensual "&amp;$C$3&amp;"'!O"&amp;10))</f>
        <v/>
      </c>
      <c r="AG10" s="114">
        <f>IF(INDIRECT("'Resumen Mensual "&amp;$C$3&amp;"'!P"&amp;10)="","",INDIRECT("'Resumen Mensual "&amp;$C$3&amp;"'!P"&amp;10))</f>
        <v/>
      </c>
      <c r="AH10" s="114">
        <f>IF(INDIRECT("'Resumen Mensual "&amp;$C$3&amp;"'!Q"&amp;10)="","",INDIRECT("'Resumen Mensual "&amp;$C$3&amp;"'!Q"&amp;10))</f>
        <v/>
      </c>
      <c r="AI10" s="114">
        <f>IF(INDIRECT("'Resumen Mensual "&amp;$C$3&amp;"'!R"&amp;10)="","",INDIRECT("'Resumen Mensual "&amp;$C$3&amp;"'!R"&amp;10))</f>
        <v/>
      </c>
    </row>
    <row r="11">
      <c r="R11" s="113" t="inlineStr">
        <is>
          <t>Septiembre</t>
        </is>
      </c>
      <c r="S11" s="114">
        <f>IF(INDIRECT("'Resumen Mensual "&amp;$C$3&amp;"'!B"&amp;11)="","",INDIRECT("'Resumen Mensual "&amp;$C$3&amp;"'!B"&amp;11))</f>
        <v/>
      </c>
      <c r="T11" s="114">
        <f>IF(INDIRECT("'Resumen Mensual "&amp;$C$3&amp;"'!C"&amp;11)="","",INDIRECT("'Resumen Mensual "&amp;$C$3&amp;"'!C"&amp;11))</f>
        <v/>
      </c>
      <c r="U11" s="114">
        <f>IF(INDIRECT("'Resumen Mensual "&amp;$C$3&amp;"'!D"&amp;11)="","",INDIRECT("'Resumen Mensual "&amp;$C$3&amp;"'!D"&amp;11))</f>
        <v/>
      </c>
      <c r="V11" s="115">
        <f>IF(INDIRECT("'Resumen Mensual "&amp;$C$3&amp;"'!E"&amp;11)="","",INDIRECT("'Resumen Mensual "&amp;$C$3&amp;"'!E"&amp;11))</f>
        <v/>
      </c>
      <c r="W11" s="114">
        <f>IF(INDIRECT("'Resumen Mensual "&amp;$C$3&amp;"'!F"&amp;11)="","",INDIRECT("'Resumen Mensual "&amp;$C$3&amp;"'!F"&amp;11))</f>
        <v/>
      </c>
      <c r="X11" s="114">
        <f>IF(INDIRECT("'Resumen Mensual "&amp;$C$3&amp;"'!G"&amp;11)="","",INDIRECT("'Resumen Mensual "&amp;$C$3&amp;"'!G"&amp;11))</f>
        <v/>
      </c>
      <c r="Y11" s="114">
        <f>IF(INDIRECT("'Resumen Mensual "&amp;$C$3&amp;"'!H"&amp;11)="","",INDIRECT("'Resumen Mensual "&amp;$C$3&amp;"'!H"&amp;11))</f>
        <v/>
      </c>
      <c r="Z11" s="114">
        <f>IF(INDIRECT("'Resumen Mensual "&amp;$C$3&amp;"'!I"&amp;11)="","",INDIRECT("'Resumen Mensual "&amp;$C$3&amp;"'!I"&amp;11))</f>
        <v/>
      </c>
      <c r="AA11" s="114">
        <f>IF(INDIRECT("'Resumen Mensual "&amp;$C$3&amp;"'!J"&amp;11)="","",INDIRECT("'Resumen Mensual "&amp;$C$3&amp;"'!J"&amp;11))</f>
        <v/>
      </c>
      <c r="AB11" s="114">
        <f>IF(INDIRECT("'Resumen Mensual "&amp;$C$3&amp;"'!K"&amp;11)="","",INDIRECT("'Resumen Mensual "&amp;$C$3&amp;"'!K"&amp;11))</f>
        <v/>
      </c>
      <c r="AC11" s="114">
        <f>IF(INDIRECT("'Resumen Mensual "&amp;$C$3&amp;"'!L"&amp;11)="","",INDIRECT("'Resumen Mensual "&amp;$C$3&amp;"'!L"&amp;11))</f>
        <v/>
      </c>
      <c r="AD11" s="114">
        <f>IF(INDIRECT("'Resumen Mensual "&amp;$C$3&amp;"'!M"&amp;11)="","",INDIRECT("'Resumen Mensual "&amp;$C$3&amp;"'!M"&amp;11))</f>
        <v/>
      </c>
      <c r="AE11" s="114">
        <f>IF(INDIRECT("'Resumen Mensual "&amp;$C$3&amp;"'!N"&amp;11)="","",INDIRECT("'Resumen Mensual "&amp;$C$3&amp;"'!N"&amp;11))</f>
        <v/>
      </c>
      <c r="AF11" s="114">
        <f>IF(INDIRECT("'Resumen Mensual "&amp;$C$3&amp;"'!O"&amp;11)="","",INDIRECT("'Resumen Mensual "&amp;$C$3&amp;"'!O"&amp;11))</f>
        <v/>
      </c>
      <c r="AG11" s="114">
        <f>IF(INDIRECT("'Resumen Mensual "&amp;$C$3&amp;"'!P"&amp;11)="","",INDIRECT("'Resumen Mensual "&amp;$C$3&amp;"'!P"&amp;11))</f>
        <v/>
      </c>
      <c r="AH11" s="114">
        <f>IF(INDIRECT("'Resumen Mensual "&amp;$C$3&amp;"'!Q"&amp;11)="","",INDIRECT("'Resumen Mensual "&amp;$C$3&amp;"'!Q"&amp;11))</f>
        <v/>
      </c>
      <c r="AI11" s="114">
        <f>IF(INDIRECT("'Resumen Mensual "&amp;$C$3&amp;"'!R"&amp;11)="","",INDIRECT("'Resumen Mensual "&amp;$C$3&amp;"'!R"&amp;11))</f>
        <v/>
      </c>
    </row>
    <row r="12">
      <c r="R12" s="113" t="inlineStr">
        <is>
          <t>Octubre</t>
        </is>
      </c>
      <c r="S12" s="114">
        <f>IF(INDIRECT("'Resumen Mensual "&amp;$C$3&amp;"'!B"&amp;12)="","",INDIRECT("'Resumen Mensual "&amp;$C$3&amp;"'!B"&amp;12))</f>
        <v/>
      </c>
      <c r="T12" s="114">
        <f>IF(INDIRECT("'Resumen Mensual "&amp;$C$3&amp;"'!C"&amp;12)="","",INDIRECT("'Resumen Mensual "&amp;$C$3&amp;"'!C"&amp;12))</f>
        <v/>
      </c>
      <c r="U12" s="114">
        <f>IF(INDIRECT("'Resumen Mensual "&amp;$C$3&amp;"'!D"&amp;12)="","",INDIRECT("'Resumen Mensual "&amp;$C$3&amp;"'!D"&amp;12))</f>
        <v/>
      </c>
      <c r="V12" s="115">
        <f>IF(INDIRECT("'Resumen Mensual "&amp;$C$3&amp;"'!E"&amp;12)="","",INDIRECT("'Resumen Mensual "&amp;$C$3&amp;"'!E"&amp;12))</f>
        <v/>
      </c>
      <c r="W12" s="114">
        <f>IF(INDIRECT("'Resumen Mensual "&amp;$C$3&amp;"'!F"&amp;12)="","",INDIRECT("'Resumen Mensual "&amp;$C$3&amp;"'!F"&amp;12))</f>
        <v/>
      </c>
      <c r="X12" s="114">
        <f>IF(INDIRECT("'Resumen Mensual "&amp;$C$3&amp;"'!G"&amp;12)="","",INDIRECT("'Resumen Mensual "&amp;$C$3&amp;"'!G"&amp;12))</f>
        <v/>
      </c>
      <c r="Y12" s="114">
        <f>IF(INDIRECT("'Resumen Mensual "&amp;$C$3&amp;"'!H"&amp;12)="","",INDIRECT("'Resumen Mensual "&amp;$C$3&amp;"'!H"&amp;12))</f>
        <v/>
      </c>
      <c r="Z12" s="114">
        <f>IF(INDIRECT("'Resumen Mensual "&amp;$C$3&amp;"'!I"&amp;12)="","",INDIRECT("'Resumen Mensual "&amp;$C$3&amp;"'!I"&amp;12))</f>
        <v/>
      </c>
      <c r="AA12" s="114">
        <f>IF(INDIRECT("'Resumen Mensual "&amp;$C$3&amp;"'!J"&amp;12)="","",INDIRECT("'Resumen Mensual "&amp;$C$3&amp;"'!J"&amp;12))</f>
        <v/>
      </c>
      <c r="AB12" s="114">
        <f>IF(INDIRECT("'Resumen Mensual "&amp;$C$3&amp;"'!K"&amp;12)="","",INDIRECT("'Resumen Mensual "&amp;$C$3&amp;"'!K"&amp;12))</f>
        <v/>
      </c>
      <c r="AC12" s="114">
        <f>IF(INDIRECT("'Resumen Mensual "&amp;$C$3&amp;"'!L"&amp;12)="","",INDIRECT("'Resumen Mensual "&amp;$C$3&amp;"'!L"&amp;12))</f>
        <v/>
      </c>
      <c r="AD12" s="114">
        <f>IF(INDIRECT("'Resumen Mensual "&amp;$C$3&amp;"'!M"&amp;12)="","",INDIRECT("'Resumen Mensual "&amp;$C$3&amp;"'!M"&amp;12))</f>
        <v/>
      </c>
      <c r="AE12" s="114">
        <f>IF(INDIRECT("'Resumen Mensual "&amp;$C$3&amp;"'!N"&amp;12)="","",INDIRECT("'Resumen Mensual "&amp;$C$3&amp;"'!N"&amp;12))</f>
        <v/>
      </c>
      <c r="AF12" s="114">
        <f>IF(INDIRECT("'Resumen Mensual "&amp;$C$3&amp;"'!O"&amp;12)="","",INDIRECT("'Resumen Mensual "&amp;$C$3&amp;"'!O"&amp;12))</f>
        <v/>
      </c>
      <c r="AG12" s="114">
        <f>IF(INDIRECT("'Resumen Mensual "&amp;$C$3&amp;"'!P"&amp;12)="","",INDIRECT("'Resumen Mensual "&amp;$C$3&amp;"'!P"&amp;12))</f>
        <v/>
      </c>
      <c r="AH12" s="114">
        <f>IF(INDIRECT("'Resumen Mensual "&amp;$C$3&amp;"'!Q"&amp;12)="","",INDIRECT("'Resumen Mensual "&amp;$C$3&amp;"'!Q"&amp;12))</f>
        <v/>
      </c>
      <c r="AI12" s="114">
        <f>IF(INDIRECT("'Resumen Mensual "&amp;$C$3&amp;"'!R"&amp;12)="","",INDIRECT("'Resumen Mensual "&amp;$C$3&amp;"'!R"&amp;12))</f>
        <v/>
      </c>
    </row>
    <row r="13">
      <c r="R13" s="113" t="inlineStr">
        <is>
          <t>Noviembre</t>
        </is>
      </c>
      <c r="S13" s="114">
        <f>IF(INDIRECT("'Resumen Mensual "&amp;$C$3&amp;"'!B"&amp;13)="","",INDIRECT("'Resumen Mensual "&amp;$C$3&amp;"'!B"&amp;13))</f>
        <v/>
      </c>
      <c r="T13" s="114">
        <f>IF(INDIRECT("'Resumen Mensual "&amp;$C$3&amp;"'!C"&amp;13)="","",INDIRECT("'Resumen Mensual "&amp;$C$3&amp;"'!C"&amp;13))</f>
        <v/>
      </c>
      <c r="U13" s="114">
        <f>IF(INDIRECT("'Resumen Mensual "&amp;$C$3&amp;"'!D"&amp;13)="","",INDIRECT("'Resumen Mensual "&amp;$C$3&amp;"'!D"&amp;13))</f>
        <v/>
      </c>
      <c r="V13" s="115">
        <f>IF(INDIRECT("'Resumen Mensual "&amp;$C$3&amp;"'!E"&amp;13)="","",INDIRECT("'Resumen Mensual "&amp;$C$3&amp;"'!E"&amp;13))</f>
        <v/>
      </c>
      <c r="W13" s="114">
        <f>IF(INDIRECT("'Resumen Mensual "&amp;$C$3&amp;"'!F"&amp;13)="","",INDIRECT("'Resumen Mensual "&amp;$C$3&amp;"'!F"&amp;13))</f>
        <v/>
      </c>
      <c r="X13" s="114">
        <f>IF(INDIRECT("'Resumen Mensual "&amp;$C$3&amp;"'!G"&amp;13)="","",INDIRECT("'Resumen Mensual "&amp;$C$3&amp;"'!G"&amp;13))</f>
        <v/>
      </c>
      <c r="Y13" s="114">
        <f>IF(INDIRECT("'Resumen Mensual "&amp;$C$3&amp;"'!H"&amp;13)="","",INDIRECT("'Resumen Mensual "&amp;$C$3&amp;"'!H"&amp;13))</f>
        <v/>
      </c>
      <c r="Z13" s="114">
        <f>IF(INDIRECT("'Resumen Mensual "&amp;$C$3&amp;"'!I"&amp;13)="","",INDIRECT("'Resumen Mensual "&amp;$C$3&amp;"'!I"&amp;13))</f>
        <v/>
      </c>
      <c r="AA13" s="114">
        <f>IF(INDIRECT("'Resumen Mensual "&amp;$C$3&amp;"'!J"&amp;13)="","",INDIRECT("'Resumen Mensual "&amp;$C$3&amp;"'!J"&amp;13))</f>
        <v/>
      </c>
      <c r="AB13" s="114">
        <f>IF(INDIRECT("'Resumen Mensual "&amp;$C$3&amp;"'!K"&amp;13)="","",INDIRECT("'Resumen Mensual "&amp;$C$3&amp;"'!K"&amp;13))</f>
        <v/>
      </c>
      <c r="AC13" s="114">
        <f>IF(INDIRECT("'Resumen Mensual "&amp;$C$3&amp;"'!L"&amp;13)="","",INDIRECT("'Resumen Mensual "&amp;$C$3&amp;"'!L"&amp;13))</f>
        <v/>
      </c>
      <c r="AD13" s="114">
        <f>IF(INDIRECT("'Resumen Mensual "&amp;$C$3&amp;"'!M"&amp;13)="","",INDIRECT("'Resumen Mensual "&amp;$C$3&amp;"'!M"&amp;13))</f>
        <v/>
      </c>
      <c r="AE13" s="114">
        <f>IF(INDIRECT("'Resumen Mensual "&amp;$C$3&amp;"'!N"&amp;13)="","",INDIRECT("'Resumen Mensual "&amp;$C$3&amp;"'!N"&amp;13))</f>
        <v/>
      </c>
      <c r="AF13" s="114">
        <f>IF(INDIRECT("'Resumen Mensual "&amp;$C$3&amp;"'!O"&amp;13)="","",INDIRECT("'Resumen Mensual "&amp;$C$3&amp;"'!O"&amp;13))</f>
        <v/>
      </c>
      <c r="AG13" s="114">
        <f>IF(INDIRECT("'Resumen Mensual "&amp;$C$3&amp;"'!P"&amp;13)="","",INDIRECT("'Resumen Mensual "&amp;$C$3&amp;"'!P"&amp;13))</f>
        <v/>
      </c>
      <c r="AH13" s="114">
        <f>IF(INDIRECT("'Resumen Mensual "&amp;$C$3&amp;"'!Q"&amp;13)="","",INDIRECT("'Resumen Mensual "&amp;$C$3&amp;"'!Q"&amp;13))</f>
        <v/>
      </c>
      <c r="AI13" s="114">
        <f>IF(INDIRECT("'Resumen Mensual "&amp;$C$3&amp;"'!R"&amp;13)="","",INDIRECT("'Resumen Mensual "&amp;$C$3&amp;"'!R"&amp;13))</f>
        <v/>
      </c>
    </row>
    <row r="14">
      <c r="R14" s="113" t="inlineStr">
        <is>
          <t>Diciembre</t>
        </is>
      </c>
      <c r="S14" s="114">
        <f>IF(INDIRECT("'Resumen Mensual "&amp;$C$3&amp;"'!B"&amp;14)="","",INDIRECT("'Resumen Mensual "&amp;$C$3&amp;"'!B"&amp;14))</f>
        <v/>
      </c>
      <c r="T14" s="114">
        <f>IF(INDIRECT("'Resumen Mensual "&amp;$C$3&amp;"'!C"&amp;14)="","",INDIRECT("'Resumen Mensual "&amp;$C$3&amp;"'!C"&amp;14))</f>
        <v/>
      </c>
      <c r="U14" s="114">
        <f>IF(INDIRECT("'Resumen Mensual "&amp;$C$3&amp;"'!D"&amp;14)="","",INDIRECT("'Resumen Mensual "&amp;$C$3&amp;"'!D"&amp;14))</f>
        <v/>
      </c>
      <c r="V14" s="115">
        <f>IF(INDIRECT("'Resumen Mensual "&amp;$C$3&amp;"'!E"&amp;14)="","",INDIRECT("'Resumen Mensual "&amp;$C$3&amp;"'!E"&amp;14))</f>
        <v/>
      </c>
      <c r="W14" s="114">
        <f>IF(INDIRECT("'Resumen Mensual "&amp;$C$3&amp;"'!F"&amp;14)="","",INDIRECT("'Resumen Mensual "&amp;$C$3&amp;"'!F"&amp;14))</f>
        <v/>
      </c>
      <c r="X14" s="114">
        <f>IF(INDIRECT("'Resumen Mensual "&amp;$C$3&amp;"'!G"&amp;14)="","",INDIRECT("'Resumen Mensual "&amp;$C$3&amp;"'!G"&amp;14))</f>
        <v/>
      </c>
      <c r="Y14" s="114">
        <f>IF(INDIRECT("'Resumen Mensual "&amp;$C$3&amp;"'!H"&amp;14)="","",INDIRECT("'Resumen Mensual "&amp;$C$3&amp;"'!H"&amp;14))</f>
        <v/>
      </c>
      <c r="Z14" s="114">
        <f>IF(INDIRECT("'Resumen Mensual "&amp;$C$3&amp;"'!I"&amp;14)="","",INDIRECT("'Resumen Mensual "&amp;$C$3&amp;"'!I"&amp;14))</f>
        <v/>
      </c>
      <c r="AA14" s="114">
        <f>IF(INDIRECT("'Resumen Mensual "&amp;$C$3&amp;"'!J"&amp;14)="","",INDIRECT("'Resumen Mensual "&amp;$C$3&amp;"'!J"&amp;14))</f>
        <v/>
      </c>
      <c r="AB14" s="114">
        <f>IF(INDIRECT("'Resumen Mensual "&amp;$C$3&amp;"'!K"&amp;14)="","",INDIRECT("'Resumen Mensual "&amp;$C$3&amp;"'!K"&amp;14))</f>
        <v/>
      </c>
      <c r="AC14" s="114">
        <f>IF(INDIRECT("'Resumen Mensual "&amp;$C$3&amp;"'!L"&amp;14)="","",INDIRECT("'Resumen Mensual "&amp;$C$3&amp;"'!L"&amp;14))</f>
        <v/>
      </c>
      <c r="AD14" s="114">
        <f>IF(INDIRECT("'Resumen Mensual "&amp;$C$3&amp;"'!M"&amp;14)="","",INDIRECT("'Resumen Mensual "&amp;$C$3&amp;"'!M"&amp;14))</f>
        <v/>
      </c>
      <c r="AE14" s="114">
        <f>IF(INDIRECT("'Resumen Mensual "&amp;$C$3&amp;"'!N"&amp;14)="","",INDIRECT("'Resumen Mensual "&amp;$C$3&amp;"'!N"&amp;14))</f>
        <v/>
      </c>
      <c r="AF14" s="114">
        <f>IF(INDIRECT("'Resumen Mensual "&amp;$C$3&amp;"'!O"&amp;14)="","",INDIRECT("'Resumen Mensual "&amp;$C$3&amp;"'!O"&amp;14))</f>
        <v/>
      </c>
      <c r="AG14" s="114">
        <f>IF(INDIRECT("'Resumen Mensual "&amp;$C$3&amp;"'!P"&amp;14)="","",INDIRECT("'Resumen Mensual "&amp;$C$3&amp;"'!P"&amp;14))</f>
        <v/>
      </c>
      <c r="AH14" s="114">
        <f>IF(INDIRECT("'Resumen Mensual "&amp;$C$3&amp;"'!Q"&amp;14)="","",INDIRECT("'Resumen Mensual "&amp;$C$3&amp;"'!Q"&amp;14))</f>
        <v/>
      </c>
      <c r="AI14" s="114">
        <f>IF(INDIRECT("'Resumen Mensual "&amp;$C$3&amp;"'!R"&amp;14)="","",INDIRECT("'Resumen Mensual "&amp;$C$3&amp;"'!R"&amp;14))</f>
        <v/>
      </c>
    </row>
    <row r="15">
      <c r="R15" s="116" t="inlineStr">
        <is>
          <t>Total</t>
        </is>
      </c>
      <c r="S15" s="117">
        <f>INDIRECT("'Resumen Mensual "&amp;$C$3&amp;"'!B15")</f>
        <v/>
      </c>
      <c r="T15" s="117">
        <f>INDIRECT("'Resumen Mensual "&amp;$C$3&amp;"'!C15")</f>
        <v/>
      </c>
      <c r="U15" s="117">
        <f>INDIRECT("'Resumen Mensual "&amp;$C$3&amp;"'!D15")</f>
        <v/>
      </c>
      <c r="V15" s="118">
        <f>INDIRECT("'Resumen Mensual "&amp;$C$3&amp;"'!E15")</f>
        <v/>
      </c>
      <c r="W15" s="117">
        <f>INDIRECT("'Resumen Mensual "&amp;$C$3&amp;"'!F15")</f>
        <v/>
      </c>
      <c r="X15" s="117">
        <f>INDIRECT("'Resumen Mensual "&amp;$C$3&amp;"'!G15")</f>
        <v/>
      </c>
      <c r="Y15" s="117">
        <f>INDIRECT("'Resumen Mensual "&amp;$C$3&amp;"'!H15")</f>
        <v/>
      </c>
      <c r="Z15" s="117">
        <f>INDIRECT("'Resumen Mensual "&amp;$C$3&amp;"'!I15")</f>
        <v/>
      </c>
      <c r="AA15" s="117">
        <f>INDIRECT("'Resumen Mensual "&amp;$C$3&amp;"'!J15")</f>
        <v/>
      </c>
      <c r="AB15" s="117">
        <f>INDIRECT("'Resumen Mensual "&amp;$C$3&amp;"'!K15")</f>
        <v/>
      </c>
      <c r="AC15" s="117">
        <f>INDIRECT("'Resumen Mensual "&amp;$C$3&amp;"'!L15")</f>
        <v/>
      </c>
      <c r="AD15" s="117">
        <f>INDIRECT("'Resumen Mensual "&amp;$C$3&amp;"'!M15")</f>
        <v/>
      </c>
      <c r="AE15" s="117">
        <f>INDIRECT("'Resumen Mensual "&amp;$C$3&amp;"'!N15")</f>
        <v/>
      </c>
      <c r="AF15" s="117">
        <f>INDIRECT("'Resumen Mensual "&amp;$C$3&amp;"'!O15")</f>
        <v/>
      </c>
      <c r="AG15" s="117">
        <f>INDIRECT("'Resumen Mensual "&amp;$C$3&amp;"'!P15")</f>
        <v/>
      </c>
      <c r="AH15" s="117">
        <f>INDIRECT("'Resumen Mensual "&amp;$C$3&amp;"'!Q15")</f>
        <v/>
      </c>
      <c r="AI15" s="117">
        <f>INDIRECT("'Resumen Mensual "&amp;$C$3&amp;"'!R15")</f>
        <v/>
      </c>
    </row>
  </sheetData>
  <mergeCells count="10">
    <mergeCell ref="J5:L5"/>
    <mergeCell ref="B5:D5"/>
    <mergeCell ref="B2:P2"/>
    <mergeCell ref="F5:H5"/>
    <mergeCell ref="B4:D4"/>
    <mergeCell ref="N5:P5"/>
    <mergeCell ref="F4:H4"/>
    <mergeCell ref="B1:P1"/>
    <mergeCell ref="J4:L4"/>
    <mergeCell ref="N4:P4"/>
  </mergeCells>
  <conditionalFormatting sqref="J5">
    <cfRule type="cellIs" priority="1" operator="greaterThanOrEqual" dxfId="7">
      <formula>0</formula>
    </cfRule>
    <cfRule type="cellIs" priority="2" operator="lessThan" dxfId="8">
      <formula>0</formula>
    </cfRule>
  </conditionalFormatting>
  <conditionalFormatting sqref="N5">
    <cfRule type="cellIs" priority="1" operator="greaterThanOrEqual" dxfId="7">
      <formula>0</formula>
    </cfRule>
    <cfRule type="cellIs" priority="2" operator="lessThan" dxfId="8">
      <formula>0</formula>
    </cfRule>
  </conditionalFormatting>
  <dataValidations count="1">
    <dataValidation sqref="C3" showDropDown="0" showInputMessage="0" showErrorMessage="0" allowBlank="0" type="list">
      <formula1>"2026,2027,2028,2029,2030"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 outlineLevelCol="0"/>
  <cols>
    <col width="18" customWidth="1" style="18" min="1" max="1"/>
    <col width="22" customWidth="1" style="18" min="2" max="2"/>
    <col width="22" customWidth="1" style="18" min="3" max="3"/>
    <col width="24" customWidth="1" style="18" min="4" max="4"/>
    <col width="22" customWidth="1" style="18" min="5" max="5"/>
    <col width="24" customWidth="1" style="18" min="6" max="6"/>
    <col width="24" customWidth="1" style="18" min="7" max="7"/>
    <col width="24" customWidth="1" style="18" min="8" max="8"/>
    <col width="24" customWidth="1" style="18" min="9" max="9"/>
    <col width="24" customWidth="1" style="18" min="10" max="10"/>
    <col width="24" customWidth="1" style="18" min="11" max="11"/>
    <col width="24" customWidth="1" style="18" min="12" max="12"/>
    <col width="24" customWidth="1" style="18" min="13" max="13"/>
    <col width="24" customWidth="1" style="18" min="14" max="14"/>
    <col width="24" customWidth="1" style="18" min="15" max="15"/>
    <col width="24" customWidth="1" style="18" min="16" max="16"/>
    <col width="24" customWidth="1" style="18" min="17" max="17"/>
    <col width="24" customWidth="1" style="18" min="18" max="18"/>
  </cols>
  <sheetData>
    <row r="1" ht="35" customHeight="1" s="18">
      <c r="A1" s="25" t="inlineStr">
        <is>
          <t>MATRIZ DE RESUMEN MENSUAL Y ANÁLISIS DE GASTOS 2026</t>
        </is>
      </c>
    </row>
    <row r="2" ht="30" customHeight="1" s="18">
      <c r="A2" s="96" t="inlineStr">
        <is>
          <t>Mes</t>
        </is>
      </c>
      <c r="B2" s="65" t="inlineStr">
        <is>
          <t>Ingresos (€)</t>
        </is>
      </c>
      <c r="C2" s="65" t="inlineStr">
        <is>
          <t>Gastos (€)</t>
        </is>
      </c>
      <c r="D2" s="65" t="inlineStr">
        <is>
          <t>Ahorro Neto (€)</t>
        </is>
      </c>
      <c r="E2" s="96" t="inlineStr">
        <is>
          <t>Tasa de Ahorro (%)</t>
        </is>
      </c>
      <c r="F2" s="65" t="inlineStr">
        <is>
          <t>Vivienda</t>
        </is>
      </c>
      <c r="G2" s="65" t="inlineStr">
        <is>
          <t>Comida y bebida</t>
        </is>
      </c>
      <c r="H2" s="65" t="inlineStr">
        <is>
          <t>Ocio / Viajes</t>
        </is>
      </c>
      <c r="I2" s="65" t="inlineStr">
        <is>
          <t>Ocio / salidas</t>
        </is>
      </c>
      <c r="J2" s="65" t="inlineStr">
        <is>
          <t>Tecnología / Otros</t>
        </is>
      </c>
      <c r="K2" s="65" t="inlineStr">
        <is>
          <t>Transporte / Gasolina</t>
        </is>
      </c>
      <c r="L2" s="65" t="inlineStr">
        <is>
          <t>Ocio / Eventos</t>
        </is>
      </c>
      <c r="M2" s="65" t="inlineStr">
        <is>
          <t>Salud</t>
        </is>
      </c>
      <c r="N2" s="65" t="inlineStr">
        <is>
          <t>Educación</t>
        </is>
      </c>
      <c r="O2" s="65" t="inlineStr">
        <is>
          <t>Ropa</t>
        </is>
      </c>
      <c r="P2" s="65" t="inlineStr">
        <is>
          <t>Suscripciones</t>
        </is>
      </c>
      <c r="Q2" s="65" t="inlineStr">
        <is>
          <t>Mascotas</t>
        </is>
      </c>
      <c r="R2" s="65" t="inlineStr">
        <is>
          <t>Otros</t>
        </is>
      </c>
    </row>
    <row r="3" ht="24" customHeight="1" s="18">
      <c r="A3" s="97" t="inlineStr">
        <is>
          <t>Enero</t>
        </is>
      </c>
      <c r="B3" s="78">
        <f>IF(COUNTIFS('Gastos e Ingresos 2026'!$A:$A, "&gt;="&amp;DATE(2026, 1, 1), 'Gastos e Ingresos 2026'!$A:$A, "&lt;"&amp;DATE(2026, 2, 1))&gt;0, SUMIFS('Gastos e Ingresos 2026'!$E:$E, 'Gastos e Ingresos 2026'!$D:$D, "Ingreso", 'Gastos e Ingresos 2026'!$A:$A, "&gt;="&amp;DATE(2026, 1, 1), 'Gastos e Ingresos 2026'!$A:$A, "&lt;"&amp;DATE(2026, 2, 1)), "")</f>
        <v/>
      </c>
      <c r="C3" s="78">
        <f>IF(COUNTIFS('Gastos e Ingresos 2026'!$A:$A, "&gt;="&amp;DATE(2026, 1, 1), 'Gastos e Ingresos 2026'!$A:$A, "&lt;"&amp;DATE(2026, 2, 1))&gt;0, SUMIFS('Gastos e Ingresos 2026'!$E:$E, 'Gastos e Ingresos 2026'!$D:$D, "Gasto", 'Gastos e Ingresos 2026'!$A:$A, "&gt;="&amp;DATE(2026, 1, 1), 'Gastos e Ingresos 2026'!$A:$A, "&lt;"&amp;DATE(2026, 2, 1)), "")</f>
        <v/>
      </c>
      <c r="D3" s="83">
        <f>IF(B3="","",B3-C3)</f>
        <v/>
      </c>
      <c r="E3" s="98">
        <f>IF(B3="","",IF(B3&gt;0, D3/B3, 0))</f>
        <v/>
      </c>
      <c r="F3" s="78">
        <f>IF(COUNTIFS('Gastos e Ingresos 2026'!$A:$A, "&gt;="&amp;DATE(2026, 1, 1), 'Gastos e Ingresos 2026'!$A:$A, "&lt;"&amp;DATE(2026, 2, 1))&gt;0, SUMIFS('Gastos e Ingresos 2026'!$E:$E, 'Gastos e Ingresos 2026'!$D:$D, "Gasto", 'Gastos e Ingresos 2026'!$C:$C, F$2, 'Gastos e Ingresos 2026'!$A:$A, "&gt;="&amp;DATE(2026, 1, 1), 'Gastos e Ingresos 2026'!$A:$A, "&lt;"&amp;DATE(2026, 2, 1)), "")</f>
        <v/>
      </c>
      <c r="G3" s="78">
        <f>IF(COUNTIFS('Gastos e Ingresos 2026'!$A:$A, "&gt;="&amp;DATE(2026, 1, 1), 'Gastos e Ingresos 2026'!$A:$A, "&lt;"&amp;DATE(2026, 2, 1))&gt;0, SUMIFS('Gastos e Ingresos 2026'!$E:$E, 'Gastos e Ingresos 2026'!$D:$D, "Gasto", 'Gastos e Ingresos 2026'!$C:$C, G$2, 'Gastos e Ingresos 2026'!$A:$A, "&gt;="&amp;DATE(2026, 1, 1), 'Gastos e Ingresos 2026'!$A:$A, "&lt;"&amp;DATE(2026, 2, 1)), "")</f>
        <v/>
      </c>
      <c r="H3" s="78">
        <f>IF(COUNTIFS('Gastos e Ingresos 2026'!$A:$A, "&gt;="&amp;DATE(2026, 1, 1), 'Gastos e Ingresos 2026'!$A:$A, "&lt;"&amp;DATE(2026, 2, 1))&gt;0, SUMIFS('Gastos e Ingresos 2026'!$E:$E, 'Gastos e Ingresos 2026'!$D:$D, "Gasto", 'Gastos e Ingresos 2026'!$C:$C, H$2, 'Gastos e Ingresos 2026'!$A:$A, "&gt;="&amp;DATE(2026, 1, 1), 'Gastos e Ingresos 2026'!$A:$A, "&lt;"&amp;DATE(2026, 2, 1)), "")</f>
        <v/>
      </c>
      <c r="I3" s="78">
        <f>IF(COUNTIFS('Gastos e Ingresos 2026'!$A:$A, "&gt;="&amp;DATE(2026, 1, 1), 'Gastos e Ingresos 2026'!$A:$A, "&lt;"&amp;DATE(2026, 2, 1))&gt;0, SUMIFS('Gastos e Ingresos 2026'!$E:$E, 'Gastos e Ingresos 2026'!$D:$D, "Gasto", 'Gastos e Ingresos 2026'!$C:$C, I$2, 'Gastos e Ingresos 2026'!$A:$A, "&gt;="&amp;DATE(2026, 1, 1), 'Gastos e Ingresos 2026'!$A:$A, "&lt;"&amp;DATE(2026, 2, 1)), "")</f>
        <v/>
      </c>
      <c r="J3" s="78">
        <f>IF(COUNTIFS('Gastos e Ingresos 2026'!$A:$A, "&gt;="&amp;DATE(2026, 1, 1), 'Gastos e Ingresos 2026'!$A:$A, "&lt;"&amp;DATE(2026, 2, 1))&gt;0, SUMIFS('Gastos e Ingresos 2026'!$E:$E, 'Gastos e Ingresos 2026'!$D:$D, "Gasto", 'Gastos e Ingresos 2026'!$C:$C, J$2, 'Gastos e Ingresos 2026'!$A:$A, "&gt;="&amp;DATE(2026, 1, 1), 'Gastos e Ingresos 2026'!$A:$A, "&lt;"&amp;DATE(2026, 2, 1)), "")</f>
        <v/>
      </c>
      <c r="K3" s="78">
        <f>IF(COUNTIFS('Gastos e Ingresos 2026'!$A:$A, "&gt;="&amp;DATE(2026, 1, 1), 'Gastos e Ingresos 2026'!$A:$A, "&lt;"&amp;DATE(2026, 2, 1))&gt;0, SUMIFS('Gastos e Ingresos 2026'!$E:$E, 'Gastos e Ingresos 2026'!$D:$D, "Gasto", 'Gastos e Ingresos 2026'!$C:$C, K$2, 'Gastos e Ingresos 2026'!$A:$A, "&gt;="&amp;DATE(2026, 1, 1), 'Gastos e Ingresos 2026'!$A:$A, "&lt;"&amp;DATE(2026, 2, 1)), "")</f>
        <v/>
      </c>
      <c r="L3" s="78">
        <f>IF(COUNTIFS('Gastos e Ingresos 2026'!$A:$A, "&gt;="&amp;DATE(2026, 1, 1), 'Gastos e Ingresos 2026'!$A:$A, "&lt;"&amp;DATE(2026, 2, 1))&gt;0, SUMIFS('Gastos e Ingresos 2026'!$E:$E, 'Gastos e Ingresos 2026'!$D:$D, "Gasto", 'Gastos e Ingresos 2026'!$C:$C, L$2, 'Gastos e Ingresos 2026'!$A:$A, "&gt;="&amp;DATE(2026, 1, 1), 'Gastos e Ingresos 2026'!$A:$A, "&lt;"&amp;DATE(2026, 2, 1)), "")</f>
        <v/>
      </c>
      <c r="M3" s="78">
        <f>IF(COUNTIFS('Gastos e Ingresos 2026'!$A:$A, "&gt;="&amp;DATE(2026, 1, 1), 'Gastos e Ingresos 2026'!$A:$A, "&lt;"&amp;DATE(2026, 2, 1))&gt;0, SUMIFS('Gastos e Ingresos 2026'!$E:$E, 'Gastos e Ingresos 2026'!$D:$D, "Gasto", 'Gastos e Ingresos 2026'!$C:$C, M$2, 'Gastos e Ingresos 2026'!$A:$A, "&gt;="&amp;DATE(2026, 1, 1), 'Gastos e Ingresos 2026'!$A:$A, "&lt;"&amp;DATE(2026, 2, 1)), "")</f>
        <v/>
      </c>
      <c r="N3" s="78">
        <f>IF(COUNTIFS('Gastos e Ingresos 2026'!$A:$A, "&gt;="&amp;DATE(2026, 1, 1), 'Gastos e Ingresos 2026'!$A:$A, "&lt;"&amp;DATE(2026, 2, 1))&gt;0, SUMIFS('Gastos e Ingresos 2026'!$E:$E, 'Gastos e Ingresos 2026'!$D:$D, "Gasto", 'Gastos e Ingresos 2026'!$C:$C, N$2, 'Gastos e Ingresos 2026'!$A:$A, "&gt;="&amp;DATE(2026, 1, 1), 'Gastos e Ingresos 2026'!$A:$A, "&lt;"&amp;DATE(2026, 2, 1)), "")</f>
        <v/>
      </c>
      <c r="O3" s="78">
        <f>IF(COUNTIFS('Gastos e Ingresos 2026'!$A:$A, "&gt;="&amp;DATE(2026, 1, 1), 'Gastos e Ingresos 2026'!$A:$A, "&lt;"&amp;DATE(2026, 2, 1))&gt;0, SUMIFS('Gastos e Ingresos 2026'!$E:$E, 'Gastos e Ingresos 2026'!$D:$D, "Gasto", 'Gastos e Ingresos 2026'!$C:$C, O$2, 'Gastos e Ingresos 2026'!$A:$A, "&gt;="&amp;DATE(2026, 1, 1), 'Gastos e Ingresos 2026'!$A:$A, "&lt;"&amp;DATE(2026, 2, 1)), "")</f>
        <v/>
      </c>
      <c r="P3" s="78">
        <f>IF(COUNTIFS('Gastos e Ingresos 2026'!$A:$A, "&gt;="&amp;DATE(2026, 1, 1), 'Gastos e Ingresos 2026'!$A:$A, "&lt;"&amp;DATE(2026, 2, 1))&gt;0, SUMIFS('Gastos e Ingresos 2026'!$E:$E, 'Gastos e Ingresos 2026'!$D:$D, "Gasto", 'Gastos e Ingresos 2026'!$C:$C, P$2, 'Gastos e Ingresos 2026'!$A:$A, "&gt;="&amp;DATE(2026, 1, 1), 'Gastos e Ingresos 2026'!$A:$A, "&lt;"&amp;DATE(2026, 2, 1)), "")</f>
        <v/>
      </c>
      <c r="Q3" s="78">
        <f>IF(COUNTIFS('Gastos e Ingresos 2026'!$A:$A, "&gt;="&amp;DATE(2026, 1, 1), 'Gastos e Ingresos 2026'!$A:$A, "&lt;"&amp;DATE(2026, 2, 1))&gt;0, SUMIFS('Gastos e Ingresos 2026'!$E:$E, 'Gastos e Ingresos 2026'!$D:$D, "Gasto", 'Gastos e Ingresos 2026'!$C:$C, Q$2, 'Gastos e Ingresos 2026'!$A:$A, "&gt;="&amp;DATE(2026, 1, 1), 'Gastos e Ingresos 2026'!$A:$A, "&lt;"&amp;DATE(2026, 2, 1)), "")</f>
        <v/>
      </c>
      <c r="R3" s="78">
        <f>IF(COUNTIFS('Gastos e Ingresos 2026'!$A:$A, "&gt;="&amp;DATE(2026, 1, 1), 'Gastos e Ingresos 2026'!$A:$A, "&lt;"&amp;DATE(2026, 2, 1))&gt;0, SUMIFS('Gastos e Ingresos 2026'!$E:$E, 'Gastos e Ingresos 2026'!$D:$D, "Gasto", 'Gastos e Ingresos 2026'!$C:$C, R$2, 'Gastos e Ingresos 2026'!$A:$A, "&gt;="&amp;DATE(2026, 1, 1), 'Gastos e Ingresos 2026'!$A:$A, "&lt;"&amp;DATE(2026, 2, 1)), "")</f>
        <v/>
      </c>
    </row>
    <row r="4" ht="24" customHeight="1" s="18">
      <c r="A4" s="97" t="inlineStr">
        <is>
          <t>Febrero</t>
        </is>
      </c>
      <c r="B4" s="78">
        <f>IF(COUNTIFS('Gastos e Ingresos 2026'!$A:$A, "&gt;="&amp;DATE(2026, 2, 1), 'Gastos e Ingresos 2026'!$A:$A, "&lt;"&amp;DATE(2026, 3, 1))&gt;0, SUMIFS('Gastos e Ingresos 2026'!$E:$E, 'Gastos e Ingresos 2026'!$D:$D, "Ingreso", 'Gastos e Ingresos 2026'!$A:$A, "&gt;="&amp;DATE(2026, 2, 1), 'Gastos e Ingresos 2026'!$A:$A, "&lt;"&amp;DATE(2026, 3, 1)), "")</f>
        <v/>
      </c>
      <c r="C4" s="78">
        <f>IF(COUNTIFS('Gastos e Ingresos 2026'!$A:$A, "&gt;="&amp;DATE(2026, 2, 1), 'Gastos e Ingresos 2026'!$A:$A, "&lt;"&amp;DATE(2026, 3, 1))&gt;0, SUMIFS('Gastos e Ingresos 2026'!$E:$E, 'Gastos e Ingresos 2026'!$D:$D, "Gasto", 'Gastos e Ingresos 2026'!$A:$A, "&gt;="&amp;DATE(2026, 2, 1), 'Gastos e Ingresos 2026'!$A:$A, "&lt;"&amp;DATE(2026, 3, 1)), "")</f>
        <v/>
      </c>
      <c r="D4" s="83">
        <f>IF(B4="","",B4-C4)</f>
        <v/>
      </c>
      <c r="E4" s="98">
        <f>IF(B4="","",IF(B4&gt;0, D4/B4, 0))</f>
        <v/>
      </c>
      <c r="F4" s="75">
        <f>IF(COUNTIFS('Gastos e Ingresos 2026'!$A:$A, "&gt;="&amp;DATE(2026, 2, 1), 'Gastos e Ingresos 2026'!$A:$A, "&lt;"&amp;DATE(2026, 3, 1))&gt;0, SUMIFS('Gastos e Ingresos 2026'!$E:$E, 'Gastos e Ingresos 2026'!$D:$D, "Gasto", 'Gastos e Ingresos 2026'!$C:$C, F$2, 'Gastos e Ingresos 2026'!$A:$A, "&gt;="&amp;DATE(2026, 2, 1), 'Gastos e Ingresos 2026'!$A:$A, "&lt;"&amp;DATE(2026, 3, 1)), "")</f>
        <v/>
      </c>
      <c r="G4" s="75">
        <f>IF(COUNTIFS('Gastos e Ingresos 2026'!$A:$A, "&gt;="&amp;DATE(2026, 2, 1), 'Gastos e Ingresos 2026'!$A:$A, "&lt;"&amp;DATE(2026, 3, 1))&gt;0, SUMIFS('Gastos e Ingresos 2026'!$E:$E, 'Gastos e Ingresos 2026'!$D:$D, "Gasto", 'Gastos e Ingresos 2026'!$C:$C, G$2, 'Gastos e Ingresos 2026'!$A:$A, "&gt;="&amp;DATE(2026, 2, 1), 'Gastos e Ingresos 2026'!$A:$A, "&lt;"&amp;DATE(2026, 3, 1)), "")</f>
        <v/>
      </c>
      <c r="H4" s="75">
        <f>IF(COUNTIFS('Gastos e Ingresos 2026'!$A:$A, "&gt;="&amp;DATE(2026, 2, 1), 'Gastos e Ingresos 2026'!$A:$A, "&lt;"&amp;DATE(2026, 3, 1))&gt;0, SUMIFS('Gastos e Ingresos 2026'!$E:$E, 'Gastos e Ingresos 2026'!$D:$D, "Gasto", 'Gastos e Ingresos 2026'!$C:$C, H$2, 'Gastos e Ingresos 2026'!$A:$A, "&gt;="&amp;DATE(2026, 2, 1), 'Gastos e Ingresos 2026'!$A:$A, "&lt;"&amp;DATE(2026, 3, 1)), "")</f>
        <v/>
      </c>
      <c r="I4" s="75">
        <f>IF(COUNTIFS('Gastos e Ingresos 2026'!$A:$A, "&gt;="&amp;DATE(2026, 2, 1), 'Gastos e Ingresos 2026'!$A:$A, "&lt;"&amp;DATE(2026, 3, 1))&gt;0, SUMIFS('Gastos e Ingresos 2026'!$E:$E, 'Gastos e Ingresos 2026'!$D:$D, "Gasto", 'Gastos e Ingresos 2026'!$C:$C, I$2, 'Gastos e Ingresos 2026'!$A:$A, "&gt;="&amp;DATE(2026, 2, 1), 'Gastos e Ingresos 2026'!$A:$A, "&lt;"&amp;DATE(2026, 3, 1)), "")</f>
        <v/>
      </c>
      <c r="J4" s="75">
        <f>IF(COUNTIFS('Gastos e Ingresos 2026'!$A:$A, "&gt;="&amp;DATE(2026, 2, 1), 'Gastos e Ingresos 2026'!$A:$A, "&lt;"&amp;DATE(2026, 3, 1))&gt;0, SUMIFS('Gastos e Ingresos 2026'!$E:$E, 'Gastos e Ingresos 2026'!$D:$D, "Gasto", 'Gastos e Ingresos 2026'!$C:$C, J$2, 'Gastos e Ingresos 2026'!$A:$A, "&gt;="&amp;DATE(2026, 2, 1), 'Gastos e Ingresos 2026'!$A:$A, "&lt;"&amp;DATE(2026, 3, 1)), "")</f>
        <v/>
      </c>
      <c r="K4" s="75">
        <f>IF(COUNTIFS('Gastos e Ingresos 2026'!$A:$A, "&gt;="&amp;DATE(2026, 2, 1), 'Gastos e Ingresos 2026'!$A:$A, "&lt;"&amp;DATE(2026, 3, 1))&gt;0, SUMIFS('Gastos e Ingresos 2026'!$E:$E, 'Gastos e Ingresos 2026'!$D:$D, "Gasto", 'Gastos e Ingresos 2026'!$C:$C, K$2, 'Gastos e Ingresos 2026'!$A:$A, "&gt;="&amp;DATE(2026, 2, 1), 'Gastos e Ingresos 2026'!$A:$A, "&lt;"&amp;DATE(2026, 3, 1)), "")</f>
        <v/>
      </c>
      <c r="L4" s="75">
        <f>IF(COUNTIFS('Gastos e Ingresos 2026'!$A:$A, "&gt;="&amp;DATE(2026, 2, 1), 'Gastos e Ingresos 2026'!$A:$A, "&lt;"&amp;DATE(2026, 3, 1))&gt;0, SUMIFS('Gastos e Ingresos 2026'!$E:$E, 'Gastos e Ingresos 2026'!$D:$D, "Gasto", 'Gastos e Ingresos 2026'!$C:$C, L$2, 'Gastos e Ingresos 2026'!$A:$A, "&gt;="&amp;DATE(2026, 2, 1), 'Gastos e Ingresos 2026'!$A:$A, "&lt;"&amp;DATE(2026, 3, 1)), "")</f>
        <v/>
      </c>
      <c r="M4" s="75">
        <f>IF(COUNTIFS('Gastos e Ingresos 2026'!$A:$A, "&gt;="&amp;DATE(2026, 2, 1), 'Gastos e Ingresos 2026'!$A:$A, "&lt;"&amp;DATE(2026, 3, 1))&gt;0, SUMIFS('Gastos e Ingresos 2026'!$E:$E, 'Gastos e Ingresos 2026'!$D:$D, "Gasto", 'Gastos e Ingresos 2026'!$C:$C, M$2, 'Gastos e Ingresos 2026'!$A:$A, "&gt;="&amp;DATE(2026, 2, 1), 'Gastos e Ingresos 2026'!$A:$A, "&lt;"&amp;DATE(2026, 3, 1)), "")</f>
        <v/>
      </c>
      <c r="N4" s="75">
        <f>IF(COUNTIFS('Gastos e Ingresos 2026'!$A:$A, "&gt;="&amp;DATE(2026, 2, 1), 'Gastos e Ingresos 2026'!$A:$A, "&lt;"&amp;DATE(2026, 3, 1))&gt;0, SUMIFS('Gastos e Ingresos 2026'!$E:$E, 'Gastos e Ingresos 2026'!$D:$D, "Gasto", 'Gastos e Ingresos 2026'!$C:$C, N$2, 'Gastos e Ingresos 2026'!$A:$A, "&gt;="&amp;DATE(2026, 2, 1), 'Gastos e Ingresos 2026'!$A:$A, "&lt;"&amp;DATE(2026, 3, 1)), "")</f>
        <v/>
      </c>
      <c r="O4" s="75">
        <f>IF(COUNTIFS('Gastos e Ingresos 2026'!$A:$A, "&gt;="&amp;DATE(2026, 2, 1), 'Gastos e Ingresos 2026'!$A:$A, "&lt;"&amp;DATE(2026, 3, 1))&gt;0, SUMIFS('Gastos e Ingresos 2026'!$E:$E, 'Gastos e Ingresos 2026'!$D:$D, "Gasto", 'Gastos e Ingresos 2026'!$C:$C, O$2, 'Gastos e Ingresos 2026'!$A:$A, "&gt;="&amp;DATE(2026, 2, 1), 'Gastos e Ingresos 2026'!$A:$A, "&lt;"&amp;DATE(2026, 3, 1)), "")</f>
        <v/>
      </c>
      <c r="P4" s="75">
        <f>IF(COUNTIFS('Gastos e Ingresos 2026'!$A:$A, "&gt;="&amp;DATE(2026, 2, 1), 'Gastos e Ingresos 2026'!$A:$A, "&lt;"&amp;DATE(2026, 3, 1))&gt;0, SUMIFS('Gastos e Ingresos 2026'!$E:$E, 'Gastos e Ingresos 2026'!$D:$D, "Gasto", 'Gastos e Ingresos 2026'!$C:$C, P$2, 'Gastos e Ingresos 2026'!$A:$A, "&gt;="&amp;DATE(2026, 2, 1), 'Gastos e Ingresos 2026'!$A:$A, "&lt;"&amp;DATE(2026, 3, 1)), "")</f>
        <v/>
      </c>
      <c r="Q4" s="75">
        <f>IF(COUNTIFS('Gastos e Ingresos 2026'!$A:$A, "&gt;="&amp;DATE(2026, 2, 1), 'Gastos e Ingresos 2026'!$A:$A, "&lt;"&amp;DATE(2026, 3, 1))&gt;0, SUMIFS('Gastos e Ingresos 2026'!$E:$E, 'Gastos e Ingresos 2026'!$D:$D, "Gasto", 'Gastos e Ingresos 2026'!$C:$C, Q$2, 'Gastos e Ingresos 2026'!$A:$A, "&gt;="&amp;DATE(2026, 2, 1), 'Gastos e Ingresos 2026'!$A:$A, "&lt;"&amp;DATE(2026, 3, 1)), "")</f>
        <v/>
      </c>
      <c r="R4" s="75">
        <f>IF(COUNTIFS('Gastos e Ingresos 2026'!$A:$A, "&gt;="&amp;DATE(2026, 2, 1), 'Gastos e Ingresos 2026'!$A:$A, "&lt;"&amp;DATE(2026, 3, 1))&gt;0, SUMIFS('Gastos e Ingresos 2026'!$E:$E, 'Gastos e Ingresos 2026'!$D:$D, "Gasto", 'Gastos e Ingresos 2026'!$C:$C, R$2, 'Gastos e Ingresos 2026'!$A:$A, "&gt;="&amp;DATE(2026, 2, 1), 'Gastos e Ingresos 2026'!$A:$A, "&lt;"&amp;DATE(2026, 3, 1)), "")</f>
        <v/>
      </c>
    </row>
    <row r="5" ht="24" customHeight="1" s="18">
      <c r="A5" s="97" t="inlineStr">
        <is>
          <t>Marzo</t>
        </is>
      </c>
      <c r="B5" s="78">
        <f>IF(COUNTIFS('Gastos e Ingresos 2026'!$A:$A, "&gt;="&amp;DATE(2026, 3, 1), 'Gastos e Ingresos 2026'!$A:$A, "&lt;"&amp;DATE(2026, 4, 1))&gt;0, SUMIFS('Gastos e Ingresos 2026'!$E:$E, 'Gastos e Ingresos 2026'!$D:$D, "Ingreso", 'Gastos e Ingresos 2026'!$A:$A, "&gt;="&amp;DATE(2026, 3, 1), 'Gastos e Ingresos 2026'!$A:$A, "&lt;"&amp;DATE(2026, 4, 1)), "")</f>
        <v/>
      </c>
      <c r="C5" s="78">
        <f>IF(COUNTIFS('Gastos e Ingresos 2026'!$A:$A, "&gt;="&amp;DATE(2026, 3, 1), 'Gastos e Ingresos 2026'!$A:$A, "&lt;"&amp;DATE(2026, 4, 1))&gt;0, SUMIFS('Gastos e Ingresos 2026'!$E:$E, 'Gastos e Ingresos 2026'!$D:$D, "Gasto", 'Gastos e Ingresos 2026'!$A:$A, "&gt;="&amp;DATE(2026, 3, 1), 'Gastos e Ingresos 2026'!$A:$A, "&lt;"&amp;DATE(2026, 4, 1)), "")</f>
        <v/>
      </c>
      <c r="D5" s="83">
        <f>IF(B5="","",B5-C5)</f>
        <v/>
      </c>
      <c r="E5" s="98">
        <f>IF(B5="","",IF(B5&gt;0, D5/B5, 0))</f>
        <v/>
      </c>
      <c r="F5" s="78">
        <f>IF(COUNTIFS('Gastos e Ingresos 2026'!$A:$A, "&gt;="&amp;DATE(2026, 3, 1), 'Gastos e Ingresos 2026'!$A:$A, "&lt;"&amp;DATE(2026, 4, 1))&gt;0, SUMIFS('Gastos e Ingresos 2026'!$E:$E, 'Gastos e Ingresos 2026'!$D:$D, "Gasto", 'Gastos e Ingresos 2026'!$C:$C, F$2, 'Gastos e Ingresos 2026'!$A:$A, "&gt;="&amp;DATE(2026, 3, 1), 'Gastos e Ingresos 2026'!$A:$A, "&lt;"&amp;DATE(2026, 4, 1)), "")</f>
        <v/>
      </c>
      <c r="G5" s="78">
        <f>IF(COUNTIFS('Gastos e Ingresos 2026'!$A:$A, "&gt;="&amp;DATE(2026, 3, 1), 'Gastos e Ingresos 2026'!$A:$A, "&lt;"&amp;DATE(2026, 4, 1))&gt;0, SUMIFS('Gastos e Ingresos 2026'!$E:$E, 'Gastos e Ingresos 2026'!$D:$D, "Gasto", 'Gastos e Ingresos 2026'!$C:$C, G$2, 'Gastos e Ingresos 2026'!$A:$A, "&gt;="&amp;DATE(2026, 3, 1), 'Gastos e Ingresos 2026'!$A:$A, "&lt;"&amp;DATE(2026, 4, 1)), "")</f>
        <v/>
      </c>
      <c r="H5" s="78">
        <f>IF(COUNTIFS('Gastos e Ingresos 2026'!$A:$A, "&gt;="&amp;DATE(2026, 3, 1), 'Gastos e Ingresos 2026'!$A:$A, "&lt;"&amp;DATE(2026, 4, 1))&gt;0, SUMIFS('Gastos e Ingresos 2026'!$E:$E, 'Gastos e Ingresos 2026'!$D:$D, "Gasto", 'Gastos e Ingresos 2026'!$C:$C, H$2, 'Gastos e Ingresos 2026'!$A:$A, "&gt;="&amp;DATE(2026, 3, 1), 'Gastos e Ingresos 2026'!$A:$A, "&lt;"&amp;DATE(2026, 4, 1)), "")</f>
        <v/>
      </c>
      <c r="I5" s="78">
        <f>IF(COUNTIFS('Gastos e Ingresos 2026'!$A:$A, "&gt;="&amp;DATE(2026, 3, 1), 'Gastos e Ingresos 2026'!$A:$A, "&lt;"&amp;DATE(2026, 4, 1))&gt;0, SUMIFS('Gastos e Ingresos 2026'!$E:$E, 'Gastos e Ingresos 2026'!$D:$D, "Gasto", 'Gastos e Ingresos 2026'!$C:$C, I$2, 'Gastos e Ingresos 2026'!$A:$A, "&gt;="&amp;DATE(2026, 3, 1), 'Gastos e Ingresos 2026'!$A:$A, "&lt;"&amp;DATE(2026, 4, 1)), "")</f>
        <v/>
      </c>
      <c r="J5" s="78">
        <f>IF(COUNTIFS('Gastos e Ingresos 2026'!$A:$A, "&gt;="&amp;DATE(2026, 3, 1), 'Gastos e Ingresos 2026'!$A:$A, "&lt;"&amp;DATE(2026, 4, 1))&gt;0, SUMIFS('Gastos e Ingresos 2026'!$E:$E, 'Gastos e Ingresos 2026'!$D:$D, "Gasto", 'Gastos e Ingresos 2026'!$C:$C, J$2, 'Gastos e Ingresos 2026'!$A:$A, "&gt;="&amp;DATE(2026, 3, 1), 'Gastos e Ingresos 2026'!$A:$A, "&lt;"&amp;DATE(2026, 4, 1)), "")</f>
        <v/>
      </c>
      <c r="K5" s="78">
        <f>IF(COUNTIFS('Gastos e Ingresos 2026'!$A:$A, "&gt;="&amp;DATE(2026, 3, 1), 'Gastos e Ingresos 2026'!$A:$A, "&lt;"&amp;DATE(2026, 4, 1))&gt;0, SUMIFS('Gastos e Ingresos 2026'!$E:$E, 'Gastos e Ingresos 2026'!$D:$D, "Gasto", 'Gastos e Ingresos 2026'!$C:$C, K$2, 'Gastos e Ingresos 2026'!$A:$A, "&gt;="&amp;DATE(2026, 3, 1), 'Gastos e Ingresos 2026'!$A:$A, "&lt;"&amp;DATE(2026, 4, 1)), "")</f>
        <v/>
      </c>
      <c r="L5" s="78">
        <f>IF(COUNTIFS('Gastos e Ingresos 2026'!$A:$A, "&gt;="&amp;DATE(2026, 3, 1), 'Gastos e Ingresos 2026'!$A:$A, "&lt;"&amp;DATE(2026, 4, 1))&gt;0, SUMIFS('Gastos e Ingresos 2026'!$E:$E, 'Gastos e Ingresos 2026'!$D:$D, "Gasto", 'Gastos e Ingresos 2026'!$C:$C, L$2, 'Gastos e Ingresos 2026'!$A:$A, "&gt;="&amp;DATE(2026, 3, 1), 'Gastos e Ingresos 2026'!$A:$A, "&lt;"&amp;DATE(2026, 4, 1)), "")</f>
        <v/>
      </c>
      <c r="M5" s="78">
        <f>IF(COUNTIFS('Gastos e Ingresos 2026'!$A:$A, "&gt;="&amp;DATE(2026, 3, 1), 'Gastos e Ingresos 2026'!$A:$A, "&lt;"&amp;DATE(2026, 4, 1))&gt;0, SUMIFS('Gastos e Ingresos 2026'!$E:$E, 'Gastos e Ingresos 2026'!$D:$D, "Gasto", 'Gastos e Ingresos 2026'!$C:$C, M$2, 'Gastos e Ingresos 2026'!$A:$A, "&gt;="&amp;DATE(2026, 3, 1), 'Gastos e Ingresos 2026'!$A:$A, "&lt;"&amp;DATE(2026, 4, 1)), "")</f>
        <v/>
      </c>
      <c r="N5" s="78">
        <f>IF(COUNTIFS('Gastos e Ingresos 2026'!$A:$A, "&gt;="&amp;DATE(2026, 3, 1), 'Gastos e Ingresos 2026'!$A:$A, "&lt;"&amp;DATE(2026, 4, 1))&gt;0, SUMIFS('Gastos e Ingresos 2026'!$E:$E, 'Gastos e Ingresos 2026'!$D:$D, "Gasto", 'Gastos e Ingresos 2026'!$C:$C, N$2, 'Gastos e Ingresos 2026'!$A:$A, "&gt;="&amp;DATE(2026, 3, 1), 'Gastos e Ingresos 2026'!$A:$A, "&lt;"&amp;DATE(2026, 4, 1)), "")</f>
        <v/>
      </c>
      <c r="O5" s="78">
        <f>IF(COUNTIFS('Gastos e Ingresos 2026'!$A:$A, "&gt;="&amp;DATE(2026, 3, 1), 'Gastos e Ingresos 2026'!$A:$A, "&lt;"&amp;DATE(2026, 4, 1))&gt;0, SUMIFS('Gastos e Ingresos 2026'!$E:$E, 'Gastos e Ingresos 2026'!$D:$D, "Gasto", 'Gastos e Ingresos 2026'!$C:$C, O$2, 'Gastos e Ingresos 2026'!$A:$A, "&gt;="&amp;DATE(2026, 3, 1), 'Gastos e Ingresos 2026'!$A:$A, "&lt;"&amp;DATE(2026, 4, 1)), "")</f>
        <v/>
      </c>
      <c r="P5" s="78">
        <f>IF(COUNTIFS('Gastos e Ingresos 2026'!$A:$A, "&gt;="&amp;DATE(2026, 3, 1), 'Gastos e Ingresos 2026'!$A:$A, "&lt;"&amp;DATE(2026, 4, 1))&gt;0, SUMIFS('Gastos e Ingresos 2026'!$E:$E, 'Gastos e Ingresos 2026'!$D:$D, "Gasto", 'Gastos e Ingresos 2026'!$C:$C, P$2, 'Gastos e Ingresos 2026'!$A:$A, "&gt;="&amp;DATE(2026, 3, 1), 'Gastos e Ingresos 2026'!$A:$A, "&lt;"&amp;DATE(2026, 4, 1)), "")</f>
        <v/>
      </c>
      <c r="Q5" s="78">
        <f>IF(COUNTIFS('Gastos e Ingresos 2026'!$A:$A, "&gt;="&amp;DATE(2026, 3, 1), 'Gastos e Ingresos 2026'!$A:$A, "&lt;"&amp;DATE(2026, 4, 1))&gt;0, SUMIFS('Gastos e Ingresos 2026'!$E:$E, 'Gastos e Ingresos 2026'!$D:$D, "Gasto", 'Gastos e Ingresos 2026'!$C:$C, Q$2, 'Gastos e Ingresos 2026'!$A:$A, "&gt;="&amp;DATE(2026, 3, 1), 'Gastos e Ingresos 2026'!$A:$A, "&lt;"&amp;DATE(2026, 4, 1)), "")</f>
        <v/>
      </c>
      <c r="R5" s="78">
        <f>IF(COUNTIFS('Gastos e Ingresos 2026'!$A:$A, "&gt;="&amp;DATE(2026, 3, 1), 'Gastos e Ingresos 2026'!$A:$A, "&lt;"&amp;DATE(2026, 4, 1))&gt;0, SUMIFS('Gastos e Ingresos 2026'!$E:$E, 'Gastos e Ingresos 2026'!$D:$D, "Gasto", 'Gastos e Ingresos 2026'!$C:$C, R$2, 'Gastos e Ingresos 2026'!$A:$A, "&gt;="&amp;DATE(2026, 3, 1), 'Gastos e Ingresos 2026'!$A:$A, "&lt;"&amp;DATE(2026, 4, 1)), "")</f>
        <v/>
      </c>
    </row>
    <row r="6" ht="24" customHeight="1" s="18">
      <c r="A6" s="97" t="inlineStr">
        <is>
          <t>Abril</t>
        </is>
      </c>
      <c r="B6" s="78">
        <f>IF(COUNTIFS('Gastos e Ingresos 2026'!$A:$A, "&gt;="&amp;DATE(2026, 4, 1), 'Gastos e Ingresos 2026'!$A:$A, "&lt;"&amp;DATE(2026, 5, 1))&gt;0, SUMIFS('Gastos e Ingresos 2026'!$E:$E, 'Gastos e Ingresos 2026'!$D:$D, "Ingreso", 'Gastos e Ingresos 2026'!$A:$A, "&gt;="&amp;DATE(2026, 4, 1), 'Gastos e Ingresos 2026'!$A:$A, "&lt;"&amp;DATE(2026, 5, 1)), "")</f>
        <v/>
      </c>
      <c r="C6" s="78">
        <f>IF(COUNTIFS('Gastos e Ingresos 2026'!$A:$A, "&gt;="&amp;DATE(2026, 4, 1), 'Gastos e Ingresos 2026'!$A:$A, "&lt;"&amp;DATE(2026, 5, 1))&gt;0, SUMIFS('Gastos e Ingresos 2026'!$E:$E, 'Gastos e Ingresos 2026'!$D:$D, "Gasto", 'Gastos e Ingresos 2026'!$A:$A, "&gt;="&amp;DATE(2026, 4, 1), 'Gastos e Ingresos 2026'!$A:$A, "&lt;"&amp;DATE(2026, 5, 1)), "")</f>
        <v/>
      </c>
      <c r="D6" s="83">
        <f>IF(B6="","",B6-C6)</f>
        <v/>
      </c>
      <c r="E6" s="98">
        <f>IF(B6="","",IF(B6&gt;0, D6/B6, 0))</f>
        <v/>
      </c>
      <c r="F6" s="75">
        <f>IF(COUNTIFS('Gastos e Ingresos 2026'!$A:$A, "&gt;="&amp;DATE(2026, 4, 1), 'Gastos e Ingresos 2026'!$A:$A, "&lt;"&amp;DATE(2026, 5, 1))&gt;0, SUMIFS('Gastos e Ingresos 2026'!$E:$E, 'Gastos e Ingresos 2026'!$D:$D, "Gasto", 'Gastos e Ingresos 2026'!$C:$C, F$2, 'Gastos e Ingresos 2026'!$A:$A, "&gt;="&amp;DATE(2026, 4, 1), 'Gastos e Ingresos 2026'!$A:$A, "&lt;"&amp;DATE(2026, 5, 1)), "")</f>
        <v/>
      </c>
      <c r="G6" s="75">
        <f>IF(COUNTIFS('Gastos e Ingresos 2026'!$A:$A, "&gt;="&amp;DATE(2026, 4, 1), 'Gastos e Ingresos 2026'!$A:$A, "&lt;"&amp;DATE(2026, 5, 1))&gt;0, SUMIFS('Gastos e Ingresos 2026'!$E:$E, 'Gastos e Ingresos 2026'!$D:$D, "Gasto", 'Gastos e Ingresos 2026'!$C:$C, G$2, 'Gastos e Ingresos 2026'!$A:$A, "&gt;="&amp;DATE(2026, 4, 1), 'Gastos e Ingresos 2026'!$A:$A, "&lt;"&amp;DATE(2026, 5, 1)), "")</f>
        <v/>
      </c>
      <c r="H6" s="75">
        <f>IF(COUNTIFS('Gastos e Ingresos 2026'!$A:$A, "&gt;="&amp;DATE(2026, 4, 1), 'Gastos e Ingresos 2026'!$A:$A, "&lt;"&amp;DATE(2026, 5, 1))&gt;0, SUMIFS('Gastos e Ingresos 2026'!$E:$E, 'Gastos e Ingresos 2026'!$D:$D, "Gasto", 'Gastos e Ingresos 2026'!$C:$C, H$2, 'Gastos e Ingresos 2026'!$A:$A, "&gt;="&amp;DATE(2026, 4, 1), 'Gastos e Ingresos 2026'!$A:$A, "&lt;"&amp;DATE(2026, 5, 1)), "")</f>
        <v/>
      </c>
      <c r="I6" s="75">
        <f>IF(COUNTIFS('Gastos e Ingresos 2026'!$A:$A, "&gt;="&amp;DATE(2026, 4, 1), 'Gastos e Ingresos 2026'!$A:$A, "&lt;"&amp;DATE(2026, 5, 1))&gt;0, SUMIFS('Gastos e Ingresos 2026'!$E:$E, 'Gastos e Ingresos 2026'!$D:$D, "Gasto", 'Gastos e Ingresos 2026'!$C:$C, I$2, 'Gastos e Ingresos 2026'!$A:$A, "&gt;="&amp;DATE(2026, 4, 1), 'Gastos e Ingresos 2026'!$A:$A, "&lt;"&amp;DATE(2026, 5, 1)), "")</f>
        <v/>
      </c>
      <c r="J6" s="75">
        <f>IF(COUNTIFS('Gastos e Ingresos 2026'!$A:$A, "&gt;="&amp;DATE(2026, 4, 1), 'Gastos e Ingresos 2026'!$A:$A, "&lt;"&amp;DATE(2026, 5, 1))&gt;0, SUMIFS('Gastos e Ingresos 2026'!$E:$E, 'Gastos e Ingresos 2026'!$D:$D, "Gasto", 'Gastos e Ingresos 2026'!$C:$C, J$2, 'Gastos e Ingresos 2026'!$A:$A, "&gt;="&amp;DATE(2026, 4, 1), 'Gastos e Ingresos 2026'!$A:$A, "&lt;"&amp;DATE(2026, 5, 1)), "")</f>
        <v/>
      </c>
      <c r="K6" s="75">
        <f>IF(COUNTIFS('Gastos e Ingresos 2026'!$A:$A, "&gt;="&amp;DATE(2026, 4, 1), 'Gastos e Ingresos 2026'!$A:$A, "&lt;"&amp;DATE(2026, 5, 1))&gt;0, SUMIFS('Gastos e Ingresos 2026'!$E:$E, 'Gastos e Ingresos 2026'!$D:$D, "Gasto", 'Gastos e Ingresos 2026'!$C:$C, K$2, 'Gastos e Ingresos 2026'!$A:$A, "&gt;="&amp;DATE(2026, 4, 1), 'Gastos e Ingresos 2026'!$A:$A, "&lt;"&amp;DATE(2026, 5, 1)), "")</f>
        <v/>
      </c>
      <c r="L6" s="75">
        <f>IF(COUNTIFS('Gastos e Ingresos 2026'!$A:$A, "&gt;="&amp;DATE(2026, 4, 1), 'Gastos e Ingresos 2026'!$A:$A, "&lt;"&amp;DATE(2026, 5, 1))&gt;0, SUMIFS('Gastos e Ingresos 2026'!$E:$E, 'Gastos e Ingresos 2026'!$D:$D, "Gasto", 'Gastos e Ingresos 2026'!$C:$C, L$2, 'Gastos e Ingresos 2026'!$A:$A, "&gt;="&amp;DATE(2026, 4, 1), 'Gastos e Ingresos 2026'!$A:$A, "&lt;"&amp;DATE(2026, 5, 1)), "")</f>
        <v/>
      </c>
      <c r="M6" s="75">
        <f>IF(COUNTIFS('Gastos e Ingresos 2026'!$A:$A, "&gt;="&amp;DATE(2026, 4, 1), 'Gastos e Ingresos 2026'!$A:$A, "&lt;"&amp;DATE(2026, 5, 1))&gt;0, SUMIFS('Gastos e Ingresos 2026'!$E:$E, 'Gastos e Ingresos 2026'!$D:$D, "Gasto", 'Gastos e Ingresos 2026'!$C:$C, M$2, 'Gastos e Ingresos 2026'!$A:$A, "&gt;="&amp;DATE(2026, 4, 1), 'Gastos e Ingresos 2026'!$A:$A, "&lt;"&amp;DATE(2026, 5, 1)), "")</f>
        <v/>
      </c>
      <c r="N6" s="75">
        <f>IF(COUNTIFS('Gastos e Ingresos 2026'!$A:$A, "&gt;="&amp;DATE(2026, 4, 1), 'Gastos e Ingresos 2026'!$A:$A, "&lt;"&amp;DATE(2026, 5, 1))&gt;0, SUMIFS('Gastos e Ingresos 2026'!$E:$E, 'Gastos e Ingresos 2026'!$D:$D, "Gasto", 'Gastos e Ingresos 2026'!$C:$C, N$2, 'Gastos e Ingresos 2026'!$A:$A, "&gt;="&amp;DATE(2026, 4, 1), 'Gastos e Ingresos 2026'!$A:$A, "&lt;"&amp;DATE(2026, 5, 1)), "")</f>
        <v/>
      </c>
      <c r="O6" s="75">
        <f>IF(COUNTIFS('Gastos e Ingresos 2026'!$A:$A, "&gt;="&amp;DATE(2026, 4, 1), 'Gastos e Ingresos 2026'!$A:$A, "&lt;"&amp;DATE(2026, 5, 1))&gt;0, SUMIFS('Gastos e Ingresos 2026'!$E:$E, 'Gastos e Ingresos 2026'!$D:$D, "Gasto", 'Gastos e Ingresos 2026'!$C:$C, O$2, 'Gastos e Ingresos 2026'!$A:$A, "&gt;="&amp;DATE(2026, 4, 1), 'Gastos e Ingresos 2026'!$A:$A, "&lt;"&amp;DATE(2026, 5, 1)), "")</f>
        <v/>
      </c>
      <c r="P6" s="75">
        <f>IF(COUNTIFS('Gastos e Ingresos 2026'!$A:$A, "&gt;="&amp;DATE(2026, 4, 1), 'Gastos e Ingresos 2026'!$A:$A, "&lt;"&amp;DATE(2026, 5, 1))&gt;0, SUMIFS('Gastos e Ingresos 2026'!$E:$E, 'Gastos e Ingresos 2026'!$D:$D, "Gasto", 'Gastos e Ingresos 2026'!$C:$C, P$2, 'Gastos e Ingresos 2026'!$A:$A, "&gt;="&amp;DATE(2026, 4, 1), 'Gastos e Ingresos 2026'!$A:$A, "&lt;"&amp;DATE(2026, 5, 1)), "")</f>
        <v/>
      </c>
      <c r="Q6" s="75">
        <f>IF(COUNTIFS('Gastos e Ingresos 2026'!$A:$A, "&gt;="&amp;DATE(2026, 4, 1), 'Gastos e Ingresos 2026'!$A:$A, "&lt;"&amp;DATE(2026, 5, 1))&gt;0, SUMIFS('Gastos e Ingresos 2026'!$E:$E, 'Gastos e Ingresos 2026'!$D:$D, "Gasto", 'Gastos e Ingresos 2026'!$C:$C, Q$2, 'Gastos e Ingresos 2026'!$A:$A, "&gt;="&amp;DATE(2026, 4, 1), 'Gastos e Ingresos 2026'!$A:$A, "&lt;"&amp;DATE(2026, 5, 1)), "")</f>
        <v/>
      </c>
      <c r="R6" s="75">
        <f>IF(COUNTIFS('Gastos e Ingresos 2026'!$A:$A, "&gt;="&amp;DATE(2026, 4, 1), 'Gastos e Ingresos 2026'!$A:$A, "&lt;"&amp;DATE(2026, 5, 1))&gt;0, SUMIFS('Gastos e Ingresos 2026'!$E:$E, 'Gastos e Ingresos 2026'!$D:$D, "Gasto", 'Gastos e Ingresos 2026'!$C:$C, R$2, 'Gastos e Ingresos 2026'!$A:$A, "&gt;="&amp;DATE(2026, 4, 1), 'Gastos e Ingresos 2026'!$A:$A, "&lt;"&amp;DATE(2026, 5, 1)), "")</f>
        <v/>
      </c>
    </row>
    <row r="7" ht="24" customHeight="1" s="18">
      <c r="A7" s="97" t="inlineStr">
        <is>
          <t>Mayo</t>
        </is>
      </c>
      <c r="B7" s="78">
        <f>IF(COUNTIFS('Gastos e Ingresos 2026'!$A:$A, "&gt;="&amp;DATE(2026, 5, 1), 'Gastos e Ingresos 2026'!$A:$A, "&lt;"&amp;DATE(2026, 6, 1))&gt;0, SUMIFS('Gastos e Ingresos 2026'!$E:$E, 'Gastos e Ingresos 2026'!$D:$D, "Ingreso", 'Gastos e Ingresos 2026'!$A:$A, "&gt;="&amp;DATE(2026, 5, 1), 'Gastos e Ingresos 2026'!$A:$A, "&lt;"&amp;DATE(2026, 6, 1)), "")</f>
        <v/>
      </c>
      <c r="C7" s="78">
        <f>IF(COUNTIFS('Gastos e Ingresos 2026'!$A:$A, "&gt;="&amp;DATE(2026, 5, 1), 'Gastos e Ingresos 2026'!$A:$A, "&lt;"&amp;DATE(2026, 6, 1))&gt;0, SUMIFS('Gastos e Ingresos 2026'!$E:$E, 'Gastos e Ingresos 2026'!$D:$D, "Gasto", 'Gastos e Ingresos 2026'!$A:$A, "&gt;="&amp;DATE(2026, 5, 1), 'Gastos e Ingresos 2026'!$A:$A, "&lt;"&amp;DATE(2026, 6, 1)), "")</f>
        <v/>
      </c>
      <c r="D7" s="83">
        <f>IF(B7="","",B7-C7)</f>
        <v/>
      </c>
      <c r="E7" s="98">
        <f>IF(B7="","",IF(B7&gt;0, D7/B7, 0))</f>
        <v/>
      </c>
      <c r="F7" s="78">
        <f>IF(COUNTIFS('Gastos e Ingresos 2026'!$A:$A, "&gt;="&amp;DATE(2026, 5, 1), 'Gastos e Ingresos 2026'!$A:$A, "&lt;"&amp;DATE(2026, 6, 1))&gt;0, SUMIFS('Gastos e Ingresos 2026'!$E:$E, 'Gastos e Ingresos 2026'!$D:$D, "Gasto", 'Gastos e Ingresos 2026'!$C:$C, F$2, 'Gastos e Ingresos 2026'!$A:$A, "&gt;="&amp;DATE(2026, 5, 1), 'Gastos e Ingresos 2026'!$A:$A, "&lt;"&amp;DATE(2026, 6, 1)), "")</f>
        <v/>
      </c>
      <c r="G7" s="78">
        <f>IF(COUNTIFS('Gastos e Ingresos 2026'!$A:$A, "&gt;="&amp;DATE(2026, 5, 1), 'Gastos e Ingresos 2026'!$A:$A, "&lt;"&amp;DATE(2026, 6, 1))&gt;0, SUMIFS('Gastos e Ingresos 2026'!$E:$E, 'Gastos e Ingresos 2026'!$D:$D, "Gasto", 'Gastos e Ingresos 2026'!$C:$C, G$2, 'Gastos e Ingresos 2026'!$A:$A, "&gt;="&amp;DATE(2026, 5, 1), 'Gastos e Ingresos 2026'!$A:$A, "&lt;"&amp;DATE(2026, 6, 1)), "")</f>
        <v/>
      </c>
      <c r="H7" s="78">
        <f>IF(COUNTIFS('Gastos e Ingresos 2026'!$A:$A, "&gt;="&amp;DATE(2026, 5, 1), 'Gastos e Ingresos 2026'!$A:$A, "&lt;"&amp;DATE(2026, 6, 1))&gt;0, SUMIFS('Gastos e Ingresos 2026'!$E:$E, 'Gastos e Ingresos 2026'!$D:$D, "Gasto", 'Gastos e Ingresos 2026'!$C:$C, H$2, 'Gastos e Ingresos 2026'!$A:$A, "&gt;="&amp;DATE(2026, 5, 1), 'Gastos e Ingresos 2026'!$A:$A, "&lt;"&amp;DATE(2026, 6, 1)), "")</f>
        <v/>
      </c>
      <c r="I7" s="78">
        <f>IF(COUNTIFS('Gastos e Ingresos 2026'!$A:$A, "&gt;="&amp;DATE(2026, 5, 1), 'Gastos e Ingresos 2026'!$A:$A, "&lt;"&amp;DATE(2026, 6, 1))&gt;0, SUMIFS('Gastos e Ingresos 2026'!$E:$E, 'Gastos e Ingresos 2026'!$D:$D, "Gasto", 'Gastos e Ingresos 2026'!$C:$C, I$2, 'Gastos e Ingresos 2026'!$A:$A, "&gt;="&amp;DATE(2026, 5, 1), 'Gastos e Ingresos 2026'!$A:$A, "&lt;"&amp;DATE(2026, 6, 1)), "")</f>
        <v/>
      </c>
      <c r="J7" s="78">
        <f>IF(COUNTIFS('Gastos e Ingresos 2026'!$A:$A, "&gt;="&amp;DATE(2026, 5, 1), 'Gastos e Ingresos 2026'!$A:$A, "&lt;"&amp;DATE(2026, 6, 1))&gt;0, SUMIFS('Gastos e Ingresos 2026'!$E:$E, 'Gastos e Ingresos 2026'!$D:$D, "Gasto", 'Gastos e Ingresos 2026'!$C:$C, J$2, 'Gastos e Ingresos 2026'!$A:$A, "&gt;="&amp;DATE(2026, 5, 1), 'Gastos e Ingresos 2026'!$A:$A, "&lt;"&amp;DATE(2026, 6, 1)), "")</f>
        <v/>
      </c>
      <c r="K7" s="78">
        <f>IF(COUNTIFS('Gastos e Ingresos 2026'!$A:$A, "&gt;="&amp;DATE(2026, 5, 1), 'Gastos e Ingresos 2026'!$A:$A, "&lt;"&amp;DATE(2026, 6, 1))&gt;0, SUMIFS('Gastos e Ingresos 2026'!$E:$E, 'Gastos e Ingresos 2026'!$D:$D, "Gasto", 'Gastos e Ingresos 2026'!$C:$C, K$2, 'Gastos e Ingresos 2026'!$A:$A, "&gt;="&amp;DATE(2026, 5, 1), 'Gastos e Ingresos 2026'!$A:$A, "&lt;"&amp;DATE(2026, 6, 1)), "")</f>
        <v/>
      </c>
      <c r="L7" s="78">
        <f>IF(COUNTIFS('Gastos e Ingresos 2026'!$A:$A, "&gt;="&amp;DATE(2026, 5, 1), 'Gastos e Ingresos 2026'!$A:$A, "&lt;"&amp;DATE(2026, 6, 1))&gt;0, SUMIFS('Gastos e Ingresos 2026'!$E:$E, 'Gastos e Ingresos 2026'!$D:$D, "Gasto", 'Gastos e Ingresos 2026'!$C:$C, L$2, 'Gastos e Ingresos 2026'!$A:$A, "&gt;="&amp;DATE(2026, 5, 1), 'Gastos e Ingresos 2026'!$A:$A, "&lt;"&amp;DATE(2026, 6, 1)), "")</f>
        <v/>
      </c>
      <c r="M7" s="78">
        <f>IF(COUNTIFS('Gastos e Ingresos 2026'!$A:$A, "&gt;="&amp;DATE(2026, 5, 1), 'Gastos e Ingresos 2026'!$A:$A, "&lt;"&amp;DATE(2026, 6, 1))&gt;0, SUMIFS('Gastos e Ingresos 2026'!$E:$E, 'Gastos e Ingresos 2026'!$D:$D, "Gasto", 'Gastos e Ingresos 2026'!$C:$C, M$2, 'Gastos e Ingresos 2026'!$A:$A, "&gt;="&amp;DATE(2026, 5, 1), 'Gastos e Ingresos 2026'!$A:$A, "&lt;"&amp;DATE(2026, 6, 1)), "")</f>
        <v/>
      </c>
      <c r="N7" s="78">
        <f>IF(COUNTIFS('Gastos e Ingresos 2026'!$A:$A, "&gt;="&amp;DATE(2026, 5, 1), 'Gastos e Ingresos 2026'!$A:$A, "&lt;"&amp;DATE(2026, 6, 1))&gt;0, SUMIFS('Gastos e Ingresos 2026'!$E:$E, 'Gastos e Ingresos 2026'!$D:$D, "Gasto", 'Gastos e Ingresos 2026'!$C:$C, N$2, 'Gastos e Ingresos 2026'!$A:$A, "&gt;="&amp;DATE(2026, 5, 1), 'Gastos e Ingresos 2026'!$A:$A, "&lt;"&amp;DATE(2026, 6, 1)), "")</f>
        <v/>
      </c>
      <c r="O7" s="78">
        <f>IF(COUNTIFS('Gastos e Ingresos 2026'!$A:$A, "&gt;="&amp;DATE(2026, 5, 1), 'Gastos e Ingresos 2026'!$A:$A, "&lt;"&amp;DATE(2026, 6, 1))&gt;0, SUMIFS('Gastos e Ingresos 2026'!$E:$E, 'Gastos e Ingresos 2026'!$D:$D, "Gasto", 'Gastos e Ingresos 2026'!$C:$C, O$2, 'Gastos e Ingresos 2026'!$A:$A, "&gt;="&amp;DATE(2026, 5, 1), 'Gastos e Ingresos 2026'!$A:$A, "&lt;"&amp;DATE(2026, 6, 1)), "")</f>
        <v/>
      </c>
      <c r="P7" s="78">
        <f>IF(COUNTIFS('Gastos e Ingresos 2026'!$A:$A, "&gt;="&amp;DATE(2026, 5, 1), 'Gastos e Ingresos 2026'!$A:$A, "&lt;"&amp;DATE(2026, 6, 1))&gt;0, SUMIFS('Gastos e Ingresos 2026'!$E:$E, 'Gastos e Ingresos 2026'!$D:$D, "Gasto", 'Gastos e Ingresos 2026'!$C:$C, P$2, 'Gastos e Ingresos 2026'!$A:$A, "&gt;="&amp;DATE(2026, 5, 1), 'Gastos e Ingresos 2026'!$A:$A, "&lt;"&amp;DATE(2026, 6, 1)), "")</f>
        <v/>
      </c>
      <c r="Q7" s="78">
        <f>IF(COUNTIFS('Gastos e Ingresos 2026'!$A:$A, "&gt;="&amp;DATE(2026, 5, 1), 'Gastos e Ingresos 2026'!$A:$A, "&lt;"&amp;DATE(2026, 6, 1))&gt;0, SUMIFS('Gastos e Ingresos 2026'!$E:$E, 'Gastos e Ingresos 2026'!$D:$D, "Gasto", 'Gastos e Ingresos 2026'!$C:$C, Q$2, 'Gastos e Ingresos 2026'!$A:$A, "&gt;="&amp;DATE(2026, 5, 1), 'Gastos e Ingresos 2026'!$A:$A, "&lt;"&amp;DATE(2026, 6, 1)), "")</f>
        <v/>
      </c>
      <c r="R7" s="78">
        <f>IF(COUNTIFS('Gastos e Ingresos 2026'!$A:$A, "&gt;="&amp;DATE(2026, 5, 1), 'Gastos e Ingresos 2026'!$A:$A, "&lt;"&amp;DATE(2026, 6, 1))&gt;0, SUMIFS('Gastos e Ingresos 2026'!$E:$E, 'Gastos e Ingresos 2026'!$D:$D, "Gasto", 'Gastos e Ingresos 2026'!$C:$C, R$2, 'Gastos e Ingresos 2026'!$A:$A, "&gt;="&amp;DATE(2026, 5, 1), 'Gastos e Ingresos 2026'!$A:$A, "&lt;"&amp;DATE(2026, 6, 1)), "")</f>
        <v/>
      </c>
    </row>
    <row r="8" ht="24" customHeight="1" s="18">
      <c r="A8" s="97" t="inlineStr">
        <is>
          <t>Junio</t>
        </is>
      </c>
      <c r="B8" s="78">
        <f>IF(COUNTIFS('Gastos e Ingresos 2026'!$A:$A, "&gt;="&amp;DATE(2026, 6, 1), 'Gastos e Ingresos 2026'!$A:$A, "&lt;"&amp;DATE(2026, 7, 1))&gt;0, SUMIFS('Gastos e Ingresos 2026'!$E:$E, 'Gastos e Ingresos 2026'!$D:$D, "Ingreso", 'Gastos e Ingresos 2026'!$A:$A, "&gt;="&amp;DATE(2026, 6, 1), 'Gastos e Ingresos 2026'!$A:$A, "&lt;"&amp;DATE(2026, 7, 1)), "")</f>
        <v/>
      </c>
      <c r="C8" s="78">
        <f>IF(COUNTIFS('Gastos e Ingresos 2026'!$A:$A, "&gt;="&amp;DATE(2026, 6, 1), 'Gastos e Ingresos 2026'!$A:$A, "&lt;"&amp;DATE(2026, 7, 1))&gt;0, SUMIFS('Gastos e Ingresos 2026'!$E:$E, 'Gastos e Ingresos 2026'!$D:$D, "Gasto", 'Gastos e Ingresos 2026'!$A:$A, "&gt;="&amp;DATE(2026, 6, 1), 'Gastos e Ingresos 2026'!$A:$A, "&lt;"&amp;DATE(2026, 7, 1)), "")</f>
        <v/>
      </c>
      <c r="D8" s="83">
        <f>IF(B8="","",B8-C8)</f>
        <v/>
      </c>
      <c r="E8" s="98">
        <f>IF(B8="","",IF(B8&gt;0, D8/B8, 0))</f>
        <v/>
      </c>
      <c r="F8" s="75">
        <f>IF(COUNTIFS('Gastos e Ingresos 2026'!$A:$A, "&gt;="&amp;DATE(2026, 6, 1), 'Gastos e Ingresos 2026'!$A:$A, "&lt;"&amp;DATE(2026, 7, 1))&gt;0, SUMIFS('Gastos e Ingresos 2026'!$E:$E, 'Gastos e Ingresos 2026'!$D:$D, "Gasto", 'Gastos e Ingresos 2026'!$C:$C, F$2, 'Gastos e Ingresos 2026'!$A:$A, "&gt;="&amp;DATE(2026, 6, 1), 'Gastos e Ingresos 2026'!$A:$A, "&lt;"&amp;DATE(2026, 7, 1)), "")</f>
        <v/>
      </c>
      <c r="G8" s="75">
        <f>IF(COUNTIFS('Gastos e Ingresos 2026'!$A:$A, "&gt;="&amp;DATE(2026, 6, 1), 'Gastos e Ingresos 2026'!$A:$A, "&lt;"&amp;DATE(2026, 7, 1))&gt;0, SUMIFS('Gastos e Ingresos 2026'!$E:$E, 'Gastos e Ingresos 2026'!$D:$D, "Gasto", 'Gastos e Ingresos 2026'!$C:$C, G$2, 'Gastos e Ingresos 2026'!$A:$A, "&gt;="&amp;DATE(2026, 6, 1), 'Gastos e Ingresos 2026'!$A:$A, "&lt;"&amp;DATE(2026, 7, 1)), "")</f>
        <v/>
      </c>
      <c r="H8" s="75">
        <f>IF(COUNTIFS('Gastos e Ingresos 2026'!$A:$A, "&gt;="&amp;DATE(2026, 6, 1), 'Gastos e Ingresos 2026'!$A:$A, "&lt;"&amp;DATE(2026, 7, 1))&gt;0, SUMIFS('Gastos e Ingresos 2026'!$E:$E, 'Gastos e Ingresos 2026'!$D:$D, "Gasto", 'Gastos e Ingresos 2026'!$C:$C, H$2, 'Gastos e Ingresos 2026'!$A:$A, "&gt;="&amp;DATE(2026, 6, 1), 'Gastos e Ingresos 2026'!$A:$A, "&lt;"&amp;DATE(2026, 7, 1)), "")</f>
        <v/>
      </c>
      <c r="I8" s="75">
        <f>IF(COUNTIFS('Gastos e Ingresos 2026'!$A:$A, "&gt;="&amp;DATE(2026, 6, 1), 'Gastos e Ingresos 2026'!$A:$A, "&lt;"&amp;DATE(2026, 7, 1))&gt;0, SUMIFS('Gastos e Ingresos 2026'!$E:$E, 'Gastos e Ingresos 2026'!$D:$D, "Gasto", 'Gastos e Ingresos 2026'!$C:$C, I$2, 'Gastos e Ingresos 2026'!$A:$A, "&gt;="&amp;DATE(2026, 6, 1), 'Gastos e Ingresos 2026'!$A:$A, "&lt;"&amp;DATE(2026, 7, 1)), "")</f>
        <v/>
      </c>
      <c r="J8" s="75">
        <f>IF(COUNTIFS('Gastos e Ingresos 2026'!$A:$A, "&gt;="&amp;DATE(2026, 6, 1), 'Gastos e Ingresos 2026'!$A:$A, "&lt;"&amp;DATE(2026, 7, 1))&gt;0, SUMIFS('Gastos e Ingresos 2026'!$E:$E, 'Gastos e Ingresos 2026'!$D:$D, "Gasto", 'Gastos e Ingresos 2026'!$C:$C, J$2, 'Gastos e Ingresos 2026'!$A:$A, "&gt;="&amp;DATE(2026, 6, 1), 'Gastos e Ingresos 2026'!$A:$A, "&lt;"&amp;DATE(2026, 7, 1)), "")</f>
        <v/>
      </c>
      <c r="K8" s="75">
        <f>IF(COUNTIFS('Gastos e Ingresos 2026'!$A:$A, "&gt;="&amp;DATE(2026, 6, 1), 'Gastos e Ingresos 2026'!$A:$A, "&lt;"&amp;DATE(2026, 7, 1))&gt;0, SUMIFS('Gastos e Ingresos 2026'!$E:$E, 'Gastos e Ingresos 2026'!$D:$D, "Gasto", 'Gastos e Ingresos 2026'!$C:$C, K$2, 'Gastos e Ingresos 2026'!$A:$A, "&gt;="&amp;DATE(2026, 6, 1), 'Gastos e Ingresos 2026'!$A:$A, "&lt;"&amp;DATE(2026, 7, 1)), "")</f>
        <v/>
      </c>
      <c r="L8" s="75">
        <f>IF(COUNTIFS('Gastos e Ingresos 2026'!$A:$A, "&gt;="&amp;DATE(2026, 6, 1), 'Gastos e Ingresos 2026'!$A:$A, "&lt;"&amp;DATE(2026, 7, 1))&gt;0, SUMIFS('Gastos e Ingresos 2026'!$E:$E, 'Gastos e Ingresos 2026'!$D:$D, "Gasto", 'Gastos e Ingresos 2026'!$C:$C, L$2, 'Gastos e Ingresos 2026'!$A:$A, "&gt;="&amp;DATE(2026, 6, 1), 'Gastos e Ingresos 2026'!$A:$A, "&lt;"&amp;DATE(2026, 7, 1)), "")</f>
        <v/>
      </c>
      <c r="M8" s="75">
        <f>IF(COUNTIFS('Gastos e Ingresos 2026'!$A:$A, "&gt;="&amp;DATE(2026, 6, 1), 'Gastos e Ingresos 2026'!$A:$A, "&lt;"&amp;DATE(2026, 7, 1))&gt;0, SUMIFS('Gastos e Ingresos 2026'!$E:$E, 'Gastos e Ingresos 2026'!$D:$D, "Gasto", 'Gastos e Ingresos 2026'!$C:$C, M$2, 'Gastos e Ingresos 2026'!$A:$A, "&gt;="&amp;DATE(2026, 6, 1), 'Gastos e Ingresos 2026'!$A:$A, "&lt;"&amp;DATE(2026, 7, 1)), "")</f>
        <v/>
      </c>
      <c r="N8" s="75">
        <f>IF(COUNTIFS('Gastos e Ingresos 2026'!$A:$A, "&gt;="&amp;DATE(2026, 6, 1), 'Gastos e Ingresos 2026'!$A:$A, "&lt;"&amp;DATE(2026, 7, 1))&gt;0, SUMIFS('Gastos e Ingresos 2026'!$E:$E, 'Gastos e Ingresos 2026'!$D:$D, "Gasto", 'Gastos e Ingresos 2026'!$C:$C, N$2, 'Gastos e Ingresos 2026'!$A:$A, "&gt;="&amp;DATE(2026, 6, 1), 'Gastos e Ingresos 2026'!$A:$A, "&lt;"&amp;DATE(2026, 7, 1)), "")</f>
        <v/>
      </c>
      <c r="O8" s="75">
        <f>IF(COUNTIFS('Gastos e Ingresos 2026'!$A:$A, "&gt;="&amp;DATE(2026, 6, 1), 'Gastos e Ingresos 2026'!$A:$A, "&lt;"&amp;DATE(2026, 7, 1))&gt;0, SUMIFS('Gastos e Ingresos 2026'!$E:$E, 'Gastos e Ingresos 2026'!$D:$D, "Gasto", 'Gastos e Ingresos 2026'!$C:$C, O$2, 'Gastos e Ingresos 2026'!$A:$A, "&gt;="&amp;DATE(2026, 6, 1), 'Gastos e Ingresos 2026'!$A:$A, "&lt;"&amp;DATE(2026, 7, 1)), "")</f>
        <v/>
      </c>
      <c r="P8" s="75">
        <f>IF(COUNTIFS('Gastos e Ingresos 2026'!$A:$A, "&gt;="&amp;DATE(2026, 6, 1), 'Gastos e Ingresos 2026'!$A:$A, "&lt;"&amp;DATE(2026, 7, 1))&gt;0, SUMIFS('Gastos e Ingresos 2026'!$E:$E, 'Gastos e Ingresos 2026'!$D:$D, "Gasto", 'Gastos e Ingresos 2026'!$C:$C, P$2, 'Gastos e Ingresos 2026'!$A:$A, "&gt;="&amp;DATE(2026, 6, 1), 'Gastos e Ingresos 2026'!$A:$A, "&lt;"&amp;DATE(2026, 7, 1)), "")</f>
        <v/>
      </c>
      <c r="Q8" s="75">
        <f>IF(COUNTIFS('Gastos e Ingresos 2026'!$A:$A, "&gt;="&amp;DATE(2026, 6, 1), 'Gastos e Ingresos 2026'!$A:$A, "&lt;"&amp;DATE(2026, 7, 1))&gt;0, SUMIFS('Gastos e Ingresos 2026'!$E:$E, 'Gastos e Ingresos 2026'!$D:$D, "Gasto", 'Gastos e Ingresos 2026'!$C:$C, Q$2, 'Gastos e Ingresos 2026'!$A:$A, "&gt;="&amp;DATE(2026, 6, 1), 'Gastos e Ingresos 2026'!$A:$A, "&lt;"&amp;DATE(2026, 7, 1)), "")</f>
        <v/>
      </c>
      <c r="R8" s="75">
        <f>IF(COUNTIFS('Gastos e Ingresos 2026'!$A:$A, "&gt;="&amp;DATE(2026, 6, 1), 'Gastos e Ingresos 2026'!$A:$A, "&lt;"&amp;DATE(2026, 7, 1))&gt;0, SUMIFS('Gastos e Ingresos 2026'!$E:$E, 'Gastos e Ingresos 2026'!$D:$D, "Gasto", 'Gastos e Ingresos 2026'!$C:$C, R$2, 'Gastos e Ingresos 2026'!$A:$A, "&gt;="&amp;DATE(2026, 6, 1), 'Gastos e Ingresos 2026'!$A:$A, "&lt;"&amp;DATE(2026, 7, 1)), "")</f>
        <v/>
      </c>
    </row>
    <row r="9" ht="24" customHeight="1" s="18">
      <c r="A9" s="97" t="inlineStr">
        <is>
          <t>Julio</t>
        </is>
      </c>
      <c r="B9" s="78">
        <f>IF(COUNTIFS('Gastos e Ingresos 2026'!$A:$A, "&gt;="&amp;DATE(2026, 7, 1), 'Gastos e Ingresos 2026'!$A:$A, "&lt;"&amp;DATE(2026, 8, 1))&gt;0, SUMIFS('Gastos e Ingresos 2026'!$E:$E, 'Gastos e Ingresos 2026'!$D:$D, "Ingreso", 'Gastos e Ingresos 2026'!$A:$A, "&gt;="&amp;DATE(2026, 7, 1), 'Gastos e Ingresos 2026'!$A:$A, "&lt;"&amp;DATE(2026, 8, 1)), "")</f>
        <v/>
      </c>
      <c r="C9" s="78">
        <f>IF(COUNTIFS('Gastos e Ingresos 2026'!$A:$A, "&gt;="&amp;DATE(2026, 7, 1), 'Gastos e Ingresos 2026'!$A:$A, "&lt;"&amp;DATE(2026, 8, 1))&gt;0, SUMIFS('Gastos e Ingresos 2026'!$E:$E, 'Gastos e Ingresos 2026'!$D:$D, "Gasto", 'Gastos e Ingresos 2026'!$A:$A, "&gt;="&amp;DATE(2026, 7, 1), 'Gastos e Ingresos 2026'!$A:$A, "&lt;"&amp;DATE(2026, 8, 1)), "")</f>
        <v/>
      </c>
      <c r="D9" s="83">
        <f>IF(B9="","",B9-C9)</f>
        <v/>
      </c>
      <c r="E9" s="98">
        <f>IF(B9="","",IF(B9&gt;0, D9/B9, 0))</f>
        <v/>
      </c>
      <c r="F9" s="78">
        <f>IF(COUNTIFS('Gastos e Ingresos 2026'!$A:$A, "&gt;="&amp;DATE(2026, 7, 1), 'Gastos e Ingresos 2026'!$A:$A, "&lt;"&amp;DATE(2026, 8, 1))&gt;0, SUMIFS('Gastos e Ingresos 2026'!$E:$E, 'Gastos e Ingresos 2026'!$D:$D, "Gasto", 'Gastos e Ingresos 2026'!$C:$C, F$2, 'Gastos e Ingresos 2026'!$A:$A, "&gt;="&amp;DATE(2026, 7, 1), 'Gastos e Ingresos 2026'!$A:$A, "&lt;"&amp;DATE(2026, 8, 1)), "")</f>
        <v/>
      </c>
      <c r="G9" s="78">
        <f>IF(COUNTIFS('Gastos e Ingresos 2026'!$A:$A, "&gt;="&amp;DATE(2026, 7, 1), 'Gastos e Ingresos 2026'!$A:$A, "&lt;"&amp;DATE(2026, 8, 1))&gt;0, SUMIFS('Gastos e Ingresos 2026'!$E:$E, 'Gastos e Ingresos 2026'!$D:$D, "Gasto", 'Gastos e Ingresos 2026'!$C:$C, G$2, 'Gastos e Ingresos 2026'!$A:$A, "&gt;="&amp;DATE(2026, 7, 1), 'Gastos e Ingresos 2026'!$A:$A, "&lt;"&amp;DATE(2026, 8, 1)), "")</f>
        <v/>
      </c>
      <c r="H9" s="78">
        <f>IF(COUNTIFS('Gastos e Ingresos 2026'!$A:$A, "&gt;="&amp;DATE(2026, 7, 1), 'Gastos e Ingresos 2026'!$A:$A, "&lt;"&amp;DATE(2026, 8, 1))&gt;0, SUMIFS('Gastos e Ingresos 2026'!$E:$E, 'Gastos e Ingresos 2026'!$D:$D, "Gasto", 'Gastos e Ingresos 2026'!$C:$C, H$2, 'Gastos e Ingresos 2026'!$A:$A, "&gt;="&amp;DATE(2026, 7, 1), 'Gastos e Ingresos 2026'!$A:$A, "&lt;"&amp;DATE(2026, 8, 1)), "")</f>
        <v/>
      </c>
      <c r="I9" s="78">
        <f>IF(COUNTIFS('Gastos e Ingresos 2026'!$A:$A, "&gt;="&amp;DATE(2026, 7, 1), 'Gastos e Ingresos 2026'!$A:$A, "&lt;"&amp;DATE(2026, 8, 1))&gt;0, SUMIFS('Gastos e Ingresos 2026'!$E:$E, 'Gastos e Ingresos 2026'!$D:$D, "Gasto", 'Gastos e Ingresos 2026'!$C:$C, I$2, 'Gastos e Ingresos 2026'!$A:$A, "&gt;="&amp;DATE(2026, 7, 1), 'Gastos e Ingresos 2026'!$A:$A, "&lt;"&amp;DATE(2026, 8, 1)), "")</f>
        <v/>
      </c>
      <c r="J9" s="78">
        <f>IF(COUNTIFS('Gastos e Ingresos 2026'!$A:$A, "&gt;="&amp;DATE(2026, 7, 1), 'Gastos e Ingresos 2026'!$A:$A, "&lt;"&amp;DATE(2026, 8, 1))&gt;0, SUMIFS('Gastos e Ingresos 2026'!$E:$E, 'Gastos e Ingresos 2026'!$D:$D, "Gasto", 'Gastos e Ingresos 2026'!$C:$C, J$2, 'Gastos e Ingresos 2026'!$A:$A, "&gt;="&amp;DATE(2026, 7, 1), 'Gastos e Ingresos 2026'!$A:$A, "&lt;"&amp;DATE(2026, 8, 1)), "")</f>
        <v/>
      </c>
      <c r="K9" s="78">
        <f>IF(COUNTIFS('Gastos e Ingresos 2026'!$A:$A, "&gt;="&amp;DATE(2026, 7, 1), 'Gastos e Ingresos 2026'!$A:$A, "&lt;"&amp;DATE(2026, 8, 1))&gt;0, SUMIFS('Gastos e Ingresos 2026'!$E:$E, 'Gastos e Ingresos 2026'!$D:$D, "Gasto", 'Gastos e Ingresos 2026'!$C:$C, K$2, 'Gastos e Ingresos 2026'!$A:$A, "&gt;="&amp;DATE(2026, 7, 1), 'Gastos e Ingresos 2026'!$A:$A, "&lt;"&amp;DATE(2026, 8, 1)), "")</f>
        <v/>
      </c>
      <c r="L9" s="78">
        <f>IF(COUNTIFS('Gastos e Ingresos 2026'!$A:$A, "&gt;="&amp;DATE(2026, 7, 1), 'Gastos e Ingresos 2026'!$A:$A, "&lt;"&amp;DATE(2026, 8, 1))&gt;0, SUMIFS('Gastos e Ingresos 2026'!$E:$E, 'Gastos e Ingresos 2026'!$D:$D, "Gasto", 'Gastos e Ingresos 2026'!$C:$C, L$2, 'Gastos e Ingresos 2026'!$A:$A, "&gt;="&amp;DATE(2026, 7, 1), 'Gastos e Ingresos 2026'!$A:$A, "&lt;"&amp;DATE(2026, 8, 1)), "")</f>
        <v/>
      </c>
      <c r="M9" s="78">
        <f>IF(COUNTIFS('Gastos e Ingresos 2026'!$A:$A, "&gt;="&amp;DATE(2026, 7, 1), 'Gastos e Ingresos 2026'!$A:$A, "&lt;"&amp;DATE(2026, 8, 1))&gt;0, SUMIFS('Gastos e Ingresos 2026'!$E:$E, 'Gastos e Ingresos 2026'!$D:$D, "Gasto", 'Gastos e Ingresos 2026'!$C:$C, M$2, 'Gastos e Ingresos 2026'!$A:$A, "&gt;="&amp;DATE(2026, 7, 1), 'Gastos e Ingresos 2026'!$A:$A, "&lt;"&amp;DATE(2026, 8, 1)), "")</f>
        <v/>
      </c>
      <c r="N9" s="78">
        <f>IF(COUNTIFS('Gastos e Ingresos 2026'!$A:$A, "&gt;="&amp;DATE(2026, 7, 1), 'Gastos e Ingresos 2026'!$A:$A, "&lt;"&amp;DATE(2026, 8, 1))&gt;0, SUMIFS('Gastos e Ingresos 2026'!$E:$E, 'Gastos e Ingresos 2026'!$D:$D, "Gasto", 'Gastos e Ingresos 2026'!$C:$C, N$2, 'Gastos e Ingresos 2026'!$A:$A, "&gt;="&amp;DATE(2026, 7, 1), 'Gastos e Ingresos 2026'!$A:$A, "&lt;"&amp;DATE(2026, 8, 1)), "")</f>
        <v/>
      </c>
      <c r="O9" s="78">
        <f>IF(COUNTIFS('Gastos e Ingresos 2026'!$A:$A, "&gt;="&amp;DATE(2026, 7, 1), 'Gastos e Ingresos 2026'!$A:$A, "&lt;"&amp;DATE(2026, 8, 1))&gt;0, SUMIFS('Gastos e Ingresos 2026'!$E:$E, 'Gastos e Ingresos 2026'!$D:$D, "Gasto", 'Gastos e Ingresos 2026'!$C:$C, O$2, 'Gastos e Ingresos 2026'!$A:$A, "&gt;="&amp;DATE(2026, 7, 1), 'Gastos e Ingresos 2026'!$A:$A, "&lt;"&amp;DATE(2026, 8, 1)), "")</f>
        <v/>
      </c>
      <c r="P9" s="78">
        <f>IF(COUNTIFS('Gastos e Ingresos 2026'!$A:$A, "&gt;="&amp;DATE(2026, 7, 1), 'Gastos e Ingresos 2026'!$A:$A, "&lt;"&amp;DATE(2026, 8, 1))&gt;0, SUMIFS('Gastos e Ingresos 2026'!$E:$E, 'Gastos e Ingresos 2026'!$D:$D, "Gasto", 'Gastos e Ingresos 2026'!$C:$C, P$2, 'Gastos e Ingresos 2026'!$A:$A, "&gt;="&amp;DATE(2026, 7, 1), 'Gastos e Ingresos 2026'!$A:$A, "&lt;"&amp;DATE(2026, 8, 1)), "")</f>
        <v/>
      </c>
      <c r="Q9" s="78">
        <f>IF(COUNTIFS('Gastos e Ingresos 2026'!$A:$A, "&gt;="&amp;DATE(2026, 7, 1), 'Gastos e Ingresos 2026'!$A:$A, "&lt;"&amp;DATE(2026, 8, 1))&gt;0, SUMIFS('Gastos e Ingresos 2026'!$E:$E, 'Gastos e Ingresos 2026'!$D:$D, "Gasto", 'Gastos e Ingresos 2026'!$C:$C, Q$2, 'Gastos e Ingresos 2026'!$A:$A, "&gt;="&amp;DATE(2026, 7, 1), 'Gastos e Ingresos 2026'!$A:$A, "&lt;"&amp;DATE(2026, 8, 1)), "")</f>
        <v/>
      </c>
      <c r="R9" s="78">
        <f>IF(COUNTIFS('Gastos e Ingresos 2026'!$A:$A, "&gt;="&amp;DATE(2026, 7, 1), 'Gastos e Ingresos 2026'!$A:$A, "&lt;"&amp;DATE(2026, 8, 1))&gt;0, SUMIFS('Gastos e Ingresos 2026'!$E:$E, 'Gastos e Ingresos 2026'!$D:$D, "Gasto", 'Gastos e Ingresos 2026'!$C:$C, R$2, 'Gastos e Ingresos 2026'!$A:$A, "&gt;="&amp;DATE(2026, 7, 1), 'Gastos e Ingresos 2026'!$A:$A, "&lt;"&amp;DATE(2026, 8, 1)), "")</f>
        <v/>
      </c>
    </row>
    <row r="10" ht="24" customHeight="1" s="18">
      <c r="A10" s="97" t="inlineStr">
        <is>
          <t>Agosto</t>
        </is>
      </c>
      <c r="B10" s="78">
        <f>IF(COUNTIFS('Gastos e Ingresos 2026'!$A:$A, "&gt;="&amp;DATE(2026, 8, 1), 'Gastos e Ingresos 2026'!$A:$A, "&lt;"&amp;DATE(2026, 9, 1))&gt;0, SUMIFS('Gastos e Ingresos 2026'!$E:$E, 'Gastos e Ingresos 2026'!$D:$D, "Ingreso", 'Gastos e Ingresos 2026'!$A:$A, "&gt;="&amp;DATE(2026, 8, 1), 'Gastos e Ingresos 2026'!$A:$A, "&lt;"&amp;DATE(2026, 9, 1)), "")</f>
        <v/>
      </c>
      <c r="C10" s="78">
        <f>IF(COUNTIFS('Gastos e Ingresos 2026'!$A:$A, "&gt;="&amp;DATE(2026, 8, 1), 'Gastos e Ingresos 2026'!$A:$A, "&lt;"&amp;DATE(2026, 9, 1))&gt;0, SUMIFS('Gastos e Ingresos 2026'!$E:$E, 'Gastos e Ingresos 2026'!$D:$D, "Gasto", 'Gastos e Ingresos 2026'!$A:$A, "&gt;="&amp;DATE(2026, 8, 1), 'Gastos e Ingresos 2026'!$A:$A, "&lt;"&amp;DATE(2026, 9, 1)), "")</f>
        <v/>
      </c>
      <c r="D10" s="83">
        <f>IF(B10="","",B10-C10)</f>
        <v/>
      </c>
      <c r="E10" s="98">
        <f>IF(B10="","",IF(B10&gt;0, D10/B10, 0))</f>
        <v/>
      </c>
      <c r="F10" s="75">
        <f>IF(COUNTIFS('Gastos e Ingresos 2026'!$A:$A, "&gt;="&amp;DATE(2026, 8, 1), 'Gastos e Ingresos 2026'!$A:$A, "&lt;"&amp;DATE(2026, 9, 1))&gt;0, SUMIFS('Gastos e Ingresos 2026'!$E:$E, 'Gastos e Ingresos 2026'!$D:$D, "Gasto", 'Gastos e Ingresos 2026'!$C:$C, F$2, 'Gastos e Ingresos 2026'!$A:$A, "&gt;="&amp;DATE(2026, 8, 1), 'Gastos e Ingresos 2026'!$A:$A, "&lt;"&amp;DATE(2026, 9, 1)), "")</f>
        <v/>
      </c>
      <c r="G10" s="75">
        <f>IF(COUNTIFS('Gastos e Ingresos 2026'!$A:$A, "&gt;="&amp;DATE(2026, 8, 1), 'Gastos e Ingresos 2026'!$A:$A, "&lt;"&amp;DATE(2026, 9, 1))&gt;0, SUMIFS('Gastos e Ingresos 2026'!$E:$E, 'Gastos e Ingresos 2026'!$D:$D, "Gasto", 'Gastos e Ingresos 2026'!$C:$C, G$2, 'Gastos e Ingresos 2026'!$A:$A, "&gt;="&amp;DATE(2026, 8, 1), 'Gastos e Ingresos 2026'!$A:$A, "&lt;"&amp;DATE(2026, 9, 1)), "")</f>
        <v/>
      </c>
      <c r="H10" s="75">
        <f>IF(COUNTIFS('Gastos e Ingresos 2026'!$A:$A, "&gt;="&amp;DATE(2026, 8, 1), 'Gastos e Ingresos 2026'!$A:$A, "&lt;"&amp;DATE(2026, 9, 1))&gt;0, SUMIFS('Gastos e Ingresos 2026'!$E:$E, 'Gastos e Ingresos 2026'!$D:$D, "Gasto", 'Gastos e Ingresos 2026'!$C:$C, H$2, 'Gastos e Ingresos 2026'!$A:$A, "&gt;="&amp;DATE(2026, 8, 1), 'Gastos e Ingresos 2026'!$A:$A, "&lt;"&amp;DATE(2026, 9, 1)), "")</f>
        <v/>
      </c>
      <c r="I10" s="75">
        <f>IF(COUNTIFS('Gastos e Ingresos 2026'!$A:$A, "&gt;="&amp;DATE(2026, 8, 1), 'Gastos e Ingresos 2026'!$A:$A, "&lt;"&amp;DATE(2026, 9, 1))&gt;0, SUMIFS('Gastos e Ingresos 2026'!$E:$E, 'Gastos e Ingresos 2026'!$D:$D, "Gasto", 'Gastos e Ingresos 2026'!$C:$C, I$2, 'Gastos e Ingresos 2026'!$A:$A, "&gt;="&amp;DATE(2026, 8, 1), 'Gastos e Ingresos 2026'!$A:$A, "&lt;"&amp;DATE(2026, 9, 1)), "")</f>
        <v/>
      </c>
      <c r="J10" s="75">
        <f>IF(COUNTIFS('Gastos e Ingresos 2026'!$A:$A, "&gt;="&amp;DATE(2026, 8, 1), 'Gastos e Ingresos 2026'!$A:$A, "&lt;"&amp;DATE(2026, 9, 1))&gt;0, SUMIFS('Gastos e Ingresos 2026'!$E:$E, 'Gastos e Ingresos 2026'!$D:$D, "Gasto", 'Gastos e Ingresos 2026'!$C:$C, J$2, 'Gastos e Ingresos 2026'!$A:$A, "&gt;="&amp;DATE(2026, 8, 1), 'Gastos e Ingresos 2026'!$A:$A, "&lt;"&amp;DATE(2026, 9, 1)), "")</f>
        <v/>
      </c>
      <c r="K10" s="75">
        <f>IF(COUNTIFS('Gastos e Ingresos 2026'!$A:$A, "&gt;="&amp;DATE(2026, 8, 1), 'Gastos e Ingresos 2026'!$A:$A, "&lt;"&amp;DATE(2026, 9, 1))&gt;0, SUMIFS('Gastos e Ingresos 2026'!$E:$E, 'Gastos e Ingresos 2026'!$D:$D, "Gasto", 'Gastos e Ingresos 2026'!$C:$C, K$2, 'Gastos e Ingresos 2026'!$A:$A, "&gt;="&amp;DATE(2026, 8, 1), 'Gastos e Ingresos 2026'!$A:$A, "&lt;"&amp;DATE(2026, 9, 1)), "")</f>
        <v/>
      </c>
      <c r="L10" s="75">
        <f>IF(COUNTIFS('Gastos e Ingresos 2026'!$A:$A, "&gt;="&amp;DATE(2026, 8, 1), 'Gastos e Ingresos 2026'!$A:$A, "&lt;"&amp;DATE(2026, 9, 1))&gt;0, SUMIFS('Gastos e Ingresos 2026'!$E:$E, 'Gastos e Ingresos 2026'!$D:$D, "Gasto", 'Gastos e Ingresos 2026'!$C:$C, L$2, 'Gastos e Ingresos 2026'!$A:$A, "&gt;="&amp;DATE(2026, 8, 1), 'Gastos e Ingresos 2026'!$A:$A, "&lt;"&amp;DATE(2026, 9, 1)), "")</f>
        <v/>
      </c>
      <c r="M10" s="75">
        <f>IF(COUNTIFS('Gastos e Ingresos 2026'!$A:$A, "&gt;="&amp;DATE(2026, 8, 1), 'Gastos e Ingresos 2026'!$A:$A, "&lt;"&amp;DATE(2026, 9, 1))&gt;0, SUMIFS('Gastos e Ingresos 2026'!$E:$E, 'Gastos e Ingresos 2026'!$D:$D, "Gasto", 'Gastos e Ingresos 2026'!$C:$C, M$2, 'Gastos e Ingresos 2026'!$A:$A, "&gt;="&amp;DATE(2026, 8, 1), 'Gastos e Ingresos 2026'!$A:$A, "&lt;"&amp;DATE(2026, 9, 1)), "")</f>
        <v/>
      </c>
      <c r="N10" s="75">
        <f>IF(COUNTIFS('Gastos e Ingresos 2026'!$A:$A, "&gt;="&amp;DATE(2026, 8, 1), 'Gastos e Ingresos 2026'!$A:$A, "&lt;"&amp;DATE(2026, 9, 1))&gt;0, SUMIFS('Gastos e Ingresos 2026'!$E:$E, 'Gastos e Ingresos 2026'!$D:$D, "Gasto", 'Gastos e Ingresos 2026'!$C:$C, N$2, 'Gastos e Ingresos 2026'!$A:$A, "&gt;="&amp;DATE(2026, 8, 1), 'Gastos e Ingresos 2026'!$A:$A, "&lt;"&amp;DATE(2026, 9, 1)), "")</f>
        <v/>
      </c>
      <c r="O10" s="75">
        <f>IF(COUNTIFS('Gastos e Ingresos 2026'!$A:$A, "&gt;="&amp;DATE(2026, 8, 1), 'Gastos e Ingresos 2026'!$A:$A, "&lt;"&amp;DATE(2026, 9, 1))&gt;0, SUMIFS('Gastos e Ingresos 2026'!$E:$E, 'Gastos e Ingresos 2026'!$D:$D, "Gasto", 'Gastos e Ingresos 2026'!$C:$C, O$2, 'Gastos e Ingresos 2026'!$A:$A, "&gt;="&amp;DATE(2026, 8, 1), 'Gastos e Ingresos 2026'!$A:$A, "&lt;"&amp;DATE(2026, 9, 1)), "")</f>
        <v/>
      </c>
      <c r="P10" s="75">
        <f>IF(COUNTIFS('Gastos e Ingresos 2026'!$A:$A, "&gt;="&amp;DATE(2026, 8, 1), 'Gastos e Ingresos 2026'!$A:$A, "&lt;"&amp;DATE(2026, 9, 1))&gt;0, SUMIFS('Gastos e Ingresos 2026'!$E:$E, 'Gastos e Ingresos 2026'!$D:$D, "Gasto", 'Gastos e Ingresos 2026'!$C:$C, P$2, 'Gastos e Ingresos 2026'!$A:$A, "&gt;="&amp;DATE(2026, 8, 1), 'Gastos e Ingresos 2026'!$A:$A, "&lt;"&amp;DATE(2026, 9, 1)), "")</f>
        <v/>
      </c>
      <c r="Q10" s="75">
        <f>IF(COUNTIFS('Gastos e Ingresos 2026'!$A:$A, "&gt;="&amp;DATE(2026, 8, 1), 'Gastos e Ingresos 2026'!$A:$A, "&lt;"&amp;DATE(2026, 9, 1))&gt;0, SUMIFS('Gastos e Ingresos 2026'!$E:$E, 'Gastos e Ingresos 2026'!$D:$D, "Gasto", 'Gastos e Ingresos 2026'!$C:$C, Q$2, 'Gastos e Ingresos 2026'!$A:$A, "&gt;="&amp;DATE(2026, 8, 1), 'Gastos e Ingresos 2026'!$A:$A, "&lt;"&amp;DATE(2026, 9, 1)), "")</f>
        <v/>
      </c>
      <c r="R10" s="75">
        <f>IF(COUNTIFS('Gastos e Ingresos 2026'!$A:$A, "&gt;="&amp;DATE(2026, 8, 1), 'Gastos e Ingresos 2026'!$A:$A, "&lt;"&amp;DATE(2026, 9, 1))&gt;0, SUMIFS('Gastos e Ingresos 2026'!$E:$E, 'Gastos e Ingresos 2026'!$D:$D, "Gasto", 'Gastos e Ingresos 2026'!$C:$C, R$2, 'Gastos e Ingresos 2026'!$A:$A, "&gt;="&amp;DATE(2026, 8, 1), 'Gastos e Ingresos 2026'!$A:$A, "&lt;"&amp;DATE(2026, 9, 1)), "")</f>
        <v/>
      </c>
    </row>
    <row r="11" ht="24" customHeight="1" s="18">
      <c r="A11" s="97" t="inlineStr">
        <is>
          <t>Septiembre</t>
        </is>
      </c>
      <c r="B11" s="78">
        <f>IF(COUNTIFS('Gastos e Ingresos 2026'!$A:$A, "&gt;="&amp;DATE(2026, 9, 1), 'Gastos e Ingresos 2026'!$A:$A, "&lt;"&amp;DATE(2026, 10, 1))&gt;0, SUMIFS('Gastos e Ingresos 2026'!$E:$E, 'Gastos e Ingresos 2026'!$D:$D, "Ingreso", 'Gastos e Ingresos 2026'!$A:$A, "&gt;="&amp;DATE(2026, 9, 1), 'Gastos e Ingresos 2026'!$A:$A, "&lt;"&amp;DATE(2026, 10, 1)), "")</f>
        <v/>
      </c>
      <c r="C11" s="78">
        <f>IF(COUNTIFS('Gastos e Ingresos 2026'!$A:$A, "&gt;="&amp;DATE(2026, 9, 1), 'Gastos e Ingresos 2026'!$A:$A, "&lt;"&amp;DATE(2026, 10, 1))&gt;0, SUMIFS('Gastos e Ingresos 2026'!$E:$E, 'Gastos e Ingresos 2026'!$D:$D, "Gasto", 'Gastos e Ingresos 2026'!$A:$A, "&gt;="&amp;DATE(2026, 9, 1), 'Gastos e Ingresos 2026'!$A:$A, "&lt;"&amp;DATE(2026, 10, 1)), "")</f>
        <v/>
      </c>
      <c r="D11" s="83">
        <f>IF(B11="","",B11-C11)</f>
        <v/>
      </c>
      <c r="E11" s="98">
        <f>IF(B11="","",IF(B11&gt;0, D11/B11, 0))</f>
        <v/>
      </c>
      <c r="F11" s="78">
        <f>IF(COUNTIFS('Gastos e Ingresos 2026'!$A:$A, "&gt;="&amp;DATE(2026, 9, 1), 'Gastos e Ingresos 2026'!$A:$A, "&lt;"&amp;DATE(2026, 10, 1))&gt;0, SUMIFS('Gastos e Ingresos 2026'!$E:$E, 'Gastos e Ingresos 2026'!$D:$D, "Gasto", 'Gastos e Ingresos 2026'!$C:$C, F$2, 'Gastos e Ingresos 2026'!$A:$A, "&gt;="&amp;DATE(2026, 9, 1), 'Gastos e Ingresos 2026'!$A:$A, "&lt;"&amp;DATE(2026, 10, 1)), "")</f>
        <v/>
      </c>
      <c r="G11" s="78">
        <f>IF(COUNTIFS('Gastos e Ingresos 2026'!$A:$A, "&gt;="&amp;DATE(2026, 9, 1), 'Gastos e Ingresos 2026'!$A:$A, "&lt;"&amp;DATE(2026, 10, 1))&gt;0, SUMIFS('Gastos e Ingresos 2026'!$E:$E, 'Gastos e Ingresos 2026'!$D:$D, "Gasto", 'Gastos e Ingresos 2026'!$C:$C, G$2, 'Gastos e Ingresos 2026'!$A:$A, "&gt;="&amp;DATE(2026, 9, 1), 'Gastos e Ingresos 2026'!$A:$A, "&lt;"&amp;DATE(2026, 10, 1)), "")</f>
        <v/>
      </c>
      <c r="H11" s="78">
        <f>IF(COUNTIFS('Gastos e Ingresos 2026'!$A:$A, "&gt;="&amp;DATE(2026, 9, 1), 'Gastos e Ingresos 2026'!$A:$A, "&lt;"&amp;DATE(2026, 10, 1))&gt;0, SUMIFS('Gastos e Ingresos 2026'!$E:$E, 'Gastos e Ingresos 2026'!$D:$D, "Gasto", 'Gastos e Ingresos 2026'!$C:$C, H$2, 'Gastos e Ingresos 2026'!$A:$A, "&gt;="&amp;DATE(2026, 9, 1), 'Gastos e Ingresos 2026'!$A:$A, "&lt;"&amp;DATE(2026, 10, 1)), "")</f>
        <v/>
      </c>
      <c r="I11" s="78">
        <f>IF(COUNTIFS('Gastos e Ingresos 2026'!$A:$A, "&gt;="&amp;DATE(2026, 9, 1), 'Gastos e Ingresos 2026'!$A:$A, "&lt;"&amp;DATE(2026, 10, 1))&gt;0, SUMIFS('Gastos e Ingresos 2026'!$E:$E, 'Gastos e Ingresos 2026'!$D:$D, "Gasto", 'Gastos e Ingresos 2026'!$C:$C, I$2, 'Gastos e Ingresos 2026'!$A:$A, "&gt;="&amp;DATE(2026, 9, 1), 'Gastos e Ingresos 2026'!$A:$A, "&lt;"&amp;DATE(2026, 10, 1)), "")</f>
        <v/>
      </c>
      <c r="J11" s="78">
        <f>IF(COUNTIFS('Gastos e Ingresos 2026'!$A:$A, "&gt;="&amp;DATE(2026, 9, 1), 'Gastos e Ingresos 2026'!$A:$A, "&lt;"&amp;DATE(2026, 10, 1))&gt;0, SUMIFS('Gastos e Ingresos 2026'!$E:$E, 'Gastos e Ingresos 2026'!$D:$D, "Gasto", 'Gastos e Ingresos 2026'!$C:$C, J$2, 'Gastos e Ingresos 2026'!$A:$A, "&gt;="&amp;DATE(2026, 9, 1), 'Gastos e Ingresos 2026'!$A:$A, "&lt;"&amp;DATE(2026, 10, 1)), "")</f>
        <v/>
      </c>
      <c r="K11" s="78">
        <f>IF(COUNTIFS('Gastos e Ingresos 2026'!$A:$A, "&gt;="&amp;DATE(2026, 9, 1), 'Gastos e Ingresos 2026'!$A:$A, "&lt;"&amp;DATE(2026, 10, 1))&gt;0, SUMIFS('Gastos e Ingresos 2026'!$E:$E, 'Gastos e Ingresos 2026'!$D:$D, "Gasto", 'Gastos e Ingresos 2026'!$C:$C, K$2, 'Gastos e Ingresos 2026'!$A:$A, "&gt;="&amp;DATE(2026, 9, 1), 'Gastos e Ingresos 2026'!$A:$A, "&lt;"&amp;DATE(2026, 10, 1)), "")</f>
        <v/>
      </c>
      <c r="L11" s="78">
        <f>IF(COUNTIFS('Gastos e Ingresos 2026'!$A:$A, "&gt;="&amp;DATE(2026, 9, 1), 'Gastos e Ingresos 2026'!$A:$A, "&lt;"&amp;DATE(2026, 10, 1))&gt;0, SUMIFS('Gastos e Ingresos 2026'!$E:$E, 'Gastos e Ingresos 2026'!$D:$D, "Gasto", 'Gastos e Ingresos 2026'!$C:$C, L$2, 'Gastos e Ingresos 2026'!$A:$A, "&gt;="&amp;DATE(2026, 9, 1), 'Gastos e Ingresos 2026'!$A:$A, "&lt;"&amp;DATE(2026, 10, 1)), "")</f>
        <v/>
      </c>
      <c r="M11" s="78">
        <f>IF(COUNTIFS('Gastos e Ingresos 2026'!$A:$A, "&gt;="&amp;DATE(2026, 9, 1), 'Gastos e Ingresos 2026'!$A:$A, "&lt;"&amp;DATE(2026, 10, 1))&gt;0, SUMIFS('Gastos e Ingresos 2026'!$E:$E, 'Gastos e Ingresos 2026'!$D:$D, "Gasto", 'Gastos e Ingresos 2026'!$C:$C, M$2, 'Gastos e Ingresos 2026'!$A:$A, "&gt;="&amp;DATE(2026, 9, 1), 'Gastos e Ingresos 2026'!$A:$A, "&lt;"&amp;DATE(2026, 10, 1)), "")</f>
        <v/>
      </c>
      <c r="N11" s="78">
        <f>IF(COUNTIFS('Gastos e Ingresos 2026'!$A:$A, "&gt;="&amp;DATE(2026, 9, 1), 'Gastos e Ingresos 2026'!$A:$A, "&lt;"&amp;DATE(2026, 10, 1))&gt;0, SUMIFS('Gastos e Ingresos 2026'!$E:$E, 'Gastos e Ingresos 2026'!$D:$D, "Gasto", 'Gastos e Ingresos 2026'!$C:$C, N$2, 'Gastos e Ingresos 2026'!$A:$A, "&gt;="&amp;DATE(2026, 9, 1), 'Gastos e Ingresos 2026'!$A:$A, "&lt;"&amp;DATE(2026, 10, 1)), "")</f>
        <v/>
      </c>
      <c r="O11" s="78">
        <f>IF(COUNTIFS('Gastos e Ingresos 2026'!$A:$A, "&gt;="&amp;DATE(2026, 9, 1), 'Gastos e Ingresos 2026'!$A:$A, "&lt;"&amp;DATE(2026, 10, 1))&gt;0, SUMIFS('Gastos e Ingresos 2026'!$E:$E, 'Gastos e Ingresos 2026'!$D:$D, "Gasto", 'Gastos e Ingresos 2026'!$C:$C, O$2, 'Gastos e Ingresos 2026'!$A:$A, "&gt;="&amp;DATE(2026, 9, 1), 'Gastos e Ingresos 2026'!$A:$A, "&lt;"&amp;DATE(2026, 10, 1)), "")</f>
        <v/>
      </c>
      <c r="P11" s="78">
        <f>IF(COUNTIFS('Gastos e Ingresos 2026'!$A:$A, "&gt;="&amp;DATE(2026, 9, 1), 'Gastos e Ingresos 2026'!$A:$A, "&lt;"&amp;DATE(2026, 10, 1))&gt;0, SUMIFS('Gastos e Ingresos 2026'!$E:$E, 'Gastos e Ingresos 2026'!$D:$D, "Gasto", 'Gastos e Ingresos 2026'!$C:$C, P$2, 'Gastos e Ingresos 2026'!$A:$A, "&gt;="&amp;DATE(2026, 9, 1), 'Gastos e Ingresos 2026'!$A:$A, "&lt;"&amp;DATE(2026, 10, 1)), "")</f>
        <v/>
      </c>
      <c r="Q11" s="78">
        <f>IF(COUNTIFS('Gastos e Ingresos 2026'!$A:$A, "&gt;="&amp;DATE(2026, 9, 1), 'Gastos e Ingresos 2026'!$A:$A, "&lt;"&amp;DATE(2026, 10, 1))&gt;0, SUMIFS('Gastos e Ingresos 2026'!$E:$E, 'Gastos e Ingresos 2026'!$D:$D, "Gasto", 'Gastos e Ingresos 2026'!$C:$C, Q$2, 'Gastos e Ingresos 2026'!$A:$A, "&gt;="&amp;DATE(2026, 9, 1), 'Gastos e Ingresos 2026'!$A:$A, "&lt;"&amp;DATE(2026, 10, 1)), "")</f>
        <v/>
      </c>
      <c r="R11" s="78">
        <f>IF(COUNTIFS('Gastos e Ingresos 2026'!$A:$A, "&gt;="&amp;DATE(2026, 9, 1), 'Gastos e Ingresos 2026'!$A:$A, "&lt;"&amp;DATE(2026, 10, 1))&gt;0, SUMIFS('Gastos e Ingresos 2026'!$E:$E, 'Gastos e Ingresos 2026'!$D:$D, "Gasto", 'Gastos e Ingresos 2026'!$C:$C, R$2, 'Gastos e Ingresos 2026'!$A:$A, "&gt;="&amp;DATE(2026, 9, 1), 'Gastos e Ingresos 2026'!$A:$A, "&lt;"&amp;DATE(2026, 10, 1)), "")</f>
        <v/>
      </c>
    </row>
    <row r="12" ht="24" customHeight="1" s="18">
      <c r="A12" s="97" t="inlineStr">
        <is>
          <t>Octubre</t>
        </is>
      </c>
      <c r="B12" s="78">
        <f>IF(COUNTIFS('Gastos e Ingresos 2026'!$A:$A, "&gt;="&amp;DATE(2026, 10, 1), 'Gastos e Ingresos 2026'!$A:$A, "&lt;"&amp;DATE(2026, 11, 1))&gt;0, SUMIFS('Gastos e Ingresos 2026'!$E:$E, 'Gastos e Ingresos 2026'!$D:$D, "Ingreso", 'Gastos e Ingresos 2026'!$A:$A, "&gt;="&amp;DATE(2026, 10, 1), 'Gastos e Ingresos 2026'!$A:$A, "&lt;"&amp;DATE(2026, 11, 1)), "")</f>
        <v/>
      </c>
      <c r="C12" s="78">
        <f>IF(COUNTIFS('Gastos e Ingresos 2026'!$A:$A, "&gt;="&amp;DATE(2026, 10, 1), 'Gastos e Ingresos 2026'!$A:$A, "&lt;"&amp;DATE(2026, 11, 1))&gt;0, SUMIFS('Gastos e Ingresos 2026'!$E:$E, 'Gastos e Ingresos 2026'!$D:$D, "Gasto", 'Gastos e Ingresos 2026'!$A:$A, "&gt;="&amp;DATE(2026, 10, 1), 'Gastos e Ingresos 2026'!$A:$A, "&lt;"&amp;DATE(2026, 11, 1)), "")</f>
        <v/>
      </c>
      <c r="D12" s="83">
        <f>IF(B12="","",B12-C12)</f>
        <v/>
      </c>
      <c r="E12" s="98">
        <f>IF(B12="","",IF(B12&gt;0, D12/B12, 0))</f>
        <v/>
      </c>
      <c r="F12" s="75">
        <f>IF(COUNTIFS('Gastos e Ingresos 2026'!$A:$A, "&gt;="&amp;DATE(2026, 10, 1), 'Gastos e Ingresos 2026'!$A:$A, "&lt;"&amp;DATE(2026, 11, 1))&gt;0, SUMIFS('Gastos e Ingresos 2026'!$E:$E, 'Gastos e Ingresos 2026'!$D:$D, "Gasto", 'Gastos e Ingresos 2026'!$C:$C, F$2, 'Gastos e Ingresos 2026'!$A:$A, "&gt;="&amp;DATE(2026, 10, 1), 'Gastos e Ingresos 2026'!$A:$A, "&lt;"&amp;DATE(2026, 11, 1)), "")</f>
        <v/>
      </c>
      <c r="G12" s="75">
        <f>IF(COUNTIFS('Gastos e Ingresos 2026'!$A:$A, "&gt;="&amp;DATE(2026, 10, 1), 'Gastos e Ingresos 2026'!$A:$A, "&lt;"&amp;DATE(2026, 11, 1))&gt;0, SUMIFS('Gastos e Ingresos 2026'!$E:$E, 'Gastos e Ingresos 2026'!$D:$D, "Gasto", 'Gastos e Ingresos 2026'!$C:$C, G$2, 'Gastos e Ingresos 2026'!$A:$A, "&gt;="&amp;DATE(2026, 10, 1), 'Gastos e Ingresos 2026'!$A:$A, "&lt;"&amp;DATE(2026, 11, 1)), "")</f>
        <v/>
      </c>
      <c r="H12" s="75">
        <f>IF(COUNTIFS('Gastos e Ingresos 2026'!$A:$A, "&gt;="&amp;DATE(2026, 10, 1), 'Gastos e Ingresos 2026'!$A:$A, "&lt;"&amp;DATE(2026, 11, 1))&gt;0, SUMIFS('Gastos e Ingresos 2026'!$E:$E, 'Gastos e Ingresos 2026'!$D:$D, "Gasto", 'Gastos e Ingresos 2026'!$C:$C, H$2, 'Gastos e Ingresos 2026'!$A:$A, "&gt;="&amp;DATE(2026, 10, 1), 'Gastos e Ingresos 2026'!$A:$A, "&lt;"&amp;DATE(2026, 11, 1)), "")</f>
        <v/>
      </c>
      <c r="I12" s="75">
        <f>IF(COUNTIFS('Gastos e Ingresos 2026'!$A:$A, "&gt;="&amp;DATE(2026, 10, 1), 'Gastos e Ingresos 2026'!$A:$A, "&lt;"&amp;DATE(2026, 11, 1))&gt;0, SUMIFS('Gastos e Ingresos 2026'!$E:$E, 'Gastos e Ingresos 2026'!$D:$D, "Gasto", 'Gastos e Ingresos 2026'!$C:$C, I$2, 'Gastos e Ingresos 2026'!$A:$A, "&gt;="&amp;DATE(2026, 10, 1), 'Gastos e Ingresos 2026'!$A:$A, "&lt;"&amp;DATE(2026, 11, 1)), "")</f>
        <v/>
      </c>
      <c r="J12" s="75">
        <f>IF(COUNTIFS('Gastos e Ingresos 2026'!$A:$A, "&gt;="&amp;DATE(2026, 10, 1), 'Gastos e Ingresos 2026'!$A:$A, "&lt;"&amp;DATE(2026, 11, 1))&gt;0, SUMIFS('Gastos e Ingresos 2026'!$E:$E, 'Gastos e Ingresos 2026'!$D:$D, "Gasto", 'Gastos e Ingresos 2026'!$C:$C, J$2, 'Gastos e Ingresos 2026'!$A:$A, "&gt;="&amp;DATE(2026, 10, 1), 'Gastos e Ingresos 2026'!$A:$A, "&lt;"&amp;DATE(2026, 11, 1)), "")</f>
        <v/>
      </c>
      <c r="K12" s="75">
        <f>IF(COUNTIFS('Gastos e Ingresos 2026'!$A:$A, "&gt;="&amp;DATE(2026, 10, 1), 'Gastos e Ingresos 2026'!$A:$A, "&lt;"&amp;DATE(2026, 11, 1))&gt;0, SUMIFS('Gastos e Ingresos 2026'!$E:$E, 'Gastos e Ingresos 2026'!$D:$D, "Gasto", 'Gastos e Ingresos 2026'!$C:$C, K$2, 'Gastos e Ingresos 2026'!$A:$A, "&gt;="&amp;DATE(2026, 10, 1), 'Gastos e Ingresos 2026'!$A:$A, "&lt;"&amp;DATE(2026, 11, 1)), "")</f>
        <v/>
      </c>
      <c r="L12" s="75">
        <f>IF(COUNTIFS('Gastos e Ingresos 2026'!$A:$A, "&gt;="&amp;DATE(2026, 10, 1), 'Gastos e Ingresos 2026'!$A:$A, "&lt;"&amp;DATE(2026, 11, 1))&gt;0, SUMIFS('Gastos e Ingresos 2026'!$E:$E, 'Gastos e Ingresos 2026'!$D:$D, "Gasto", 'Gastos e Ingresos 2026'!$C:$C, L$2, 'Gastos e Ingresos 2026'!$A:$A, "&gt;="&amp;DATE(2026, 10, 1), 'Gastos e Ingresos 2026'!$A:$A, "&lt;"&amp;DATE(2026, 11, 1)), "")</f>
        <v/>
      </c>
      <c r="M12" s="75">
        <f>IF(COUNTIFS('Gastos e Ingresos 2026'!$A:$A, "&gt;="&amp;DATE(2026, 10, 1), 'Gastos e Ingresos 2026'!$A:$A, "&lt;"&amp;DATE(2026, 11, 1))&gt;0, SUMIFS('Gastos e Ingresos 2026'!$E:$E, 'Gastos e Ingresos 2026'!$D:$D, "Gasto", 'Gastos e Ingresos 2026'!$C:$C, M$2, 'Gastos e Ingresos 2026'!$A:$A, "&gt;="&amp;DATE(2026, 10, 1), 'Gastos e Ingresos 2026'!$A:$A, "&lt;"&amp;DATE(2026, 11, 1)), "")</f>
        <v/>
      </c>
      <c r="N12" s="75">
        <f>IF(COUNTIFS('Gastos e Ingresos 2026'!$A:$A, "&gt;="&amp;DATE(2026, 10, 1), 'Gastos e Ingresos 2026'!$A:$A, "&lt;"&amp;DATE(2026, 11, 1))&gt;0, SUMIFS('Gastos e Ingresos 2026'!$E:$E, 'Gastos e Ingresos 2026'!$D:$D, "Gasto", 'Gastos e Ingresos 2026'!$C:$C, N$2, 'Gastos e Ingresos 2026'!$A:$A, "&gt;="&amp;DATE(2026, 10, 1), 'Gastos e Ingresos 2026'!$A:$A, "&lt;"&amp;DATE(2026, 11, 1)), "")</f>
        <v/>
      </c>
      <c r="O12" s="75">
        <f>IF(COUNTIFS('Gastos e Ingresos 2026'!$A:$A, "&gt;="&amp;DATE(2026, 10, 1), 'Gastos e Ingresos 2026'!$A:$A, "&lt;"&amp;DATE(2026, 11, 1))&gt;0, SUMIFS('Gastos e Ingresos 2026'!$E:$E, 'Gastos e Ingresos 2026'!$D:$D, "Gasto", 'Gastos e Ingresos 2026'!$C:$C, O$2, 'Gastos e Ingresos 2026'!$A:$A, "&gt;="&amp;DATE(2026, 10, 1), 'Gastos e Ingresos 2026'!$A:$A, "&lt;"&amp;DATE(2026, 11, 1)), "")</f>
        <v/>
      </c>
      <c r="P12" s="75">
        <f>IF(COUNTIFS('Gastos e Ingresos 2026'!$A:$A, "&gt;="&amp;DATE(2026, 10, 1), 'Gastos e Ingresos 2026'!$A:$A, "&lt;"&amp;DATE(2026, 11, 1))&gt;0, SUMIFS('Gastos e Ingresos 2026'!$E:$E, 'Gastos e Ingresos 2026'!$D:$D, "Gasto", 'Gastos e Ingresos 2026'!$C:$C, P$2, 'Gastos e Ingresos 2026'!$A:$A, "&gt;="&amp;DATE(2026, 10, 1), 'Gastos e Ingresos 2026'!$A:$A, "&lt;"&amp;DATE(2026, 11, 1)), "")</f>
        <v/>
      </c>
      <c r="Q12" s="75">
        <f>IF(COUNTIFS('Gastos e Ingresos 2026'!$A:$A, "&gt;="&amp;DATE(2026, 10, 1), 'Gastos e Ingresos 2026'!$A:$A, "&lt;"&amp;DATE(2026, 11, 1))&gt;0, SUMIFS('Gastos e Ingresos 2026'!$E:$E, 'Gastos e Ingresos 2026'!$D:$D, "Gasto", 'Gastos e Ingresos 2026'!$C:$C, Q$2, 'Gastos e Ingresos 2026'!$A:$A, "&gt;="&amp;DATE(2026, 10, 1), 'Gastos e Ingresos 2026'!$A:$A, "&lt;"&amp;DATE(2026, 11, 1)), "")</f>
        <v/>
      </c>
      <c r="R12" s="75">
        <f>IF(COUNTIFS('Gastos e Ingresos 2026'!$A:$A, "&gt;="&amp;DATE(2026, 10, 1), 'Gastos e Ingresos 2026'!$A:$A, "&lt;"&amp;DATE(2026, 11, 1))&gt;0, SUMIFS('Gastos e Ingresos 2026'!$E:$E, 'Gastos e Ingresos 2026'!$D:$D, "Gasto", 'Gastos e Ingresos 2026'!$C:$C, R$2, 'Gastos e Ingresos 2026'!$A:$A, "&gt;="&amp;DATE(2026, 10, 1), 'Gastos e Ingresos 2026'!$A:$A, "&lt;"&amp;DATE(2026, 11, 1)), "")</f>
        <v/>
      </c>
    </row>
    <row r="13" ht="24" customHeight="1" s="18">
      <c r="A13" s="97" t="inlineStr">
        <is>
          <t>Noviembre</t>
        </is>
      </c>
      <c r="B13" s="78">
        <f>IF(COUNTIFS('Gastos e Ingresos 2026'!$A:$A, "&gt;="&amp;DATE(2026, 11, 1), 'Gastos e Ingresos 2026'!$A:$A, "&lt;"&amp;DATE(2026, 12, 1))&gt;0, SUMIFS('Gastos e Ingresos 2026'!$E:$E, 'Gastos e Ingresos 2026'!$D:$D, "Ingreso", 'Gastos e Ingresos 2026'!$A:$A, "&gt;="&amp;DATE(2026, 11, 1), 'Gastos e Ingresos 2026'!$A:$A, "&lt;"&amp;DATE(2026, 12, 1)), "")</f>
        <v/>
      </c>
      <c r="C13" s="78">
        <f>IF(COUNTIFS('Gastos e Ingresos 2026'!$A:$A, "&gt;="&amp;DATE(2026, 11, 1), 'Gastos e Ingresos 2026'!$A:$A, "&lt;"&amp;DATE(2026, 12, 1))&gt;0, SUMIFS('Gastos e Ingresos 2026'!$E:$E, 'Gastos e Ingresos 2026'!$D:$D, "Gasto", 'Gastos e Ingresos 2026'!$A:$A, "&gt;="&amp;DATE(2026, 11, 1), 'Gastos e Ingresos 2026'!$A:$A, "&lt;"&amp;DATE(2026, 12, 1)), "")</f>
        <v/>
      </c>
      <c r="D13" s="83">
        <f>IF(B13="","",B13-C13)</f>
        <v/>
      </c>
      <c r="E13" s="98">
        <f>IF(B13="","",IF(B13&gt;0, D13/B13, 0))</f>
        <v/>
      </c>
      <c r="F13" s="78">
        <f>IF(COUNTIFS('Gastos e Ingresos 2026'!$A:$A, "&gt;="&amp;DATE(2026, 11, 1), 'Gastos e Ingresos 2026'!$A:$A, "&lt;"&amp;DATE(2026, 12, 1))&gt;0, SUMIFS('Gastos e Ingresos 2026'!$E:$E, 'Gastos e Ingresos 2026'!$D:$D, "Gasto", 'Gastos e Ingresos 2026'!$C:$C, F$2, 'Gastos e Ingresos 2026'!$A:$A, "&gt;="&amp;DATE(2026, 11, 1), 'Gastos e Ingresos 2026'!$A:$A, "&lt;"&amp;DATE(2026, 12, 1)), "")</f>
        <v/>
      </c>
      <c r="G13" s="78">
        <f>IF(COUNTIFS('Gastos e Ingresos 2026'!$A:$A, "&gt;="&amp;DATE(2026, 11, 1), 'Gastos e Ingresos 2026'!$A:$A, "&lt;"&amp;DATE(2026, 12, 1))&gt;0, SUMIFS('Gastos e Ingresos 2026'!$E:$E, 'Gastos e Ingresos 2026'!$D:$D, "Gasto", 'Gastos e Ingresos 2026'!$C:$C, G$2, 'Gastos e Ingresos 2026'!$A:$A, "&gt;="&amp;DATE(2026, 11, 1), 'Gastos e Ingresos 2026'!$A:$A, "&lt;"&amp;DATE(2026, 12, 1)), "")</f>
        <v/>
      </c>
      <c r="H13" s="78">
        <f>IF(COUNTIFS('Gastos e Ingresos 2026'!$A:$A, "&gt;="&amp;DATE(2026, 11, 1), 'Gastos e Ingresos 2026'!$A:$A, "&lt;"&amp;DATE(2026, 12, 1))&gt;0, SUMIFS('Gastos e Ingresos 2026'!$E:$E, 'Gastos e Ingresos 2026'!$D:$D, "Gasto", 'Gastos e Ingresos 2026'!$C:$C, H$2, 'Gastos e Ingresos 2026'!$A:$A, "&gt;="&amp;DATE(2026, 11, 1), 'Gastos e Ingresos 2026'!$A:$A, "&lt;"&amp;DATE(2026, 12, 1)), "")</f>
        <v/>
      </c>
      <c r="I13" s="78">
        <f>IF(COUNTIFS('Gastos e Ingresos 2026'!$A:$A, "&gt;="&amp;DATE(2026, 11, 1), 'Gastos e Ingresos 2026'!$A:$A, "&lt;"&amp;DATE(2026, 12, 1))&gt;0, SUMIFS('Gastos e Ingresos 2026'!$E:$E, 'Gastos e Ingresos 2026'!$D:$D, "Gasto", 'Gastos e Ingresos 2026'!$C:$C, I$2, 'Gastos e Ingresos 2026'!$A:$A, "&gt;="&amp;DATE(2026, 11, 1), 'Gastos e Ingresos 2026'!$A:$A, "&lt;"&amp;DATE(2026, 12, 1)), "")</f>
        <v/>
      </c>
      <c r="J13" s="78">
        <f>IF(COUNTIFS('Gastos e Ingresos 2026'!$A:$A, "&gt;="&amp;DATE(2026, 11, 1), 'Gastos e Ingresos 2026'!$A:$A, "&lt;"&amp;DATE(2026, 12, 1))&gt;0, SUMIFS('Gastos e Ingresos 2026'!$E:$E, 'Gastos e Ingresos 2026'!$D:$D, "Gasto", 'Gastos e Ingresos 2026'!$C:$C, J$2, 'Gastos e Ingresos 2026'!$A:$A, "&gt;="&amp;DATE(2026, 11, 1), 'Gastos e Ingresos 2026'!$A:$A, "&lt;"&amp;DATE(2026, 12, 1)), "")</f>
        <v/>
      </c>
      <c r="K13" s="78">
        <f>IF(COUNTIFS('Gastos e Ingresos 2026'!$A:$A, "&gt;="&amp;DATE(2026, 11, 1), 'Gastos e Ingresos 2026'!$A:$A, "&lt;"&amp;DATE(2026, 12, 1))&gt;0, SUMIFS('Gastos e Ingresos 2026'!$E:$E, 'Gastos e Ingresos 2026'!$D:$D, "Gasto", 'Gastos e Ingresos 2026'!$C:$C, K$2, 'Gastos e Ingresos 2026'!$A:$A, "&gt;="&amp;DATE(2026, 11, 1), 'Gastos e Ingresos 2026'!$A:$A, "&lt;"&amp;DATE(2026, 12, 1)), "")</f>
        <v/>
      </c>
      <c r="L13" s="78">
        <f>IF(COUNTIFS('Gastos e Ingresos 2026'!$A:$A, "&gt;="&amp;DATE(2026, 11, 1), 'Gastos e Ingresos 2026'!$A:$A, "&lt;"&amp;DATE(2026, 12, 1))&gt;0, SUMIFS('Gastos e Ingresos 2026'!$E:$E, 'Gastos e Ingresos 2026'!$D:$D, "Gasto", 'Gastos e Ingresos 2026'!$C:$C, L$2, 'Gastos e Ingresos 2026'!$A:$A, "&gt;="&amp;DATE(2026, 11, 1), 'Gastos e Ingresos 2026'!$A:$A, "&lt;"&amp;DATE(2026, 12, 1)), "")</f>
        <v/>
      </c>
      <c r="M13" s="78">
        <f>IF(COUNTIFS('Gastos e Ingresos 2026'!$A:$A, "&gt;="&amp;DATE(2026, 11, 1), 'Gastos e Ingresos 2026'!$A:$A, "&lt;"&amp;DATE(2026, 12, 1))&gt;0, SUMIFS('Gastos e Ingresos 2026'!$E:$E, 'Gastos e Ingresos 2026'!$D:$D, "Gasto", 'Gastos e Ingresos 2026'!$C:$C, M$2, 'Gastos e Ingresos 2026'!$A:$A, "&gt;="&amp;DATE(2026, 11, 1), 'Gastos e Ingresos 2026'!$A:$A, "&lt;"&amp;DATE(2026, 12, 1)), "")</f>
        <v/>
      </c>
      <c r="N13" s="78">
        <f>IF(COUNTIFS('Gastos e Ingresos 2026'!$A:$A, "&gt;="&amp;DATE(2026, 11, 1), 'Gastos e Ingresos 2026'!$A:$A, "&lt;"&amp;DATE(2026, 12, 1))&gt;0, SUMIFS('Gastos e Ingresos 2026'!$E:$E, 'Gastos e Ingresos 2026'!$D:$D, "Gasto", 'Gastos e Ingresos 2026'!$C:$C, N$2, 'Gastos e Ingresos 2026'!$A:$A, "&gt;="&amp;DATE(2026, 11, 1), 'Gastos e Ingresos 2026'!$A:$A, "&lt;"&amp;DATE(2026, 12, 1)), "")</f>
        <v/>
      </c>
      <c r="O13" s="78">
        <f>IF(COUNTIFS('Gastos e Ingresos 2026'!$A:$A, "&gt;="&amp;DATE(2026, 11, 1), 'Gastos e Ingresos 2026'!$A:$A, "&lt;"&amp;DATE(2026, 12, 1))&gt;0, SUMIFS('Gastos e Ingresos 2026'!$E:$E, 'Gastos e Ingresos 2026'!$D:$D, "Gasto", 'Gastos e Ingresos 2026'!$C:$C, O$2, 'Gastos e Ingresos 2026'!$A:$A, "&gt;="&amp;DATE(2026, 11, 1), 'Gastos e Ingresos 2026'!$A:$A, "&lt;"&amp;DATE(2026, 12, 1)), "")</f>
        <v/>
      </c>
      <c r="P13" s="78">
        <f>IF(COUNTIFS('Gastos e Ingresos 2026'!$A:$A, "&gt;="&amp;DATE(2026, 11, 1), 'Gastos e Ingresos 2026'!$A:$A, "&lt;"&amp;DATE(2026, 12, 1))&gt;0, SUMIFS('Gastos e Ingresos 2026'!$E:$E, 'Gastos e Ingresos 2026'!$D:$D, "Gasto", 'Gastos e Ingresos 2026'!$C:$C, P$2, 'Gastos e Ingresos 2026'!$A:$A, "&gt;="&amp;DATE(2026, 11, 1), 'Gastos e Ingresos 2026'!$A:$A, "&lt;"&amp;DATE(2026, 12, 1)), "")</f>
        <v/>
      </c>
      <c r="Q13" s="78">
        <f>IF(COUNTIFS('Gastos e Ingresos 2026'!$A:$A, "&gt;="&amp;DATE(2026, 11, 1), 'Gastos e Ingresos 2026'!$A:$A, "&lt;"&amp;DATE(2026, 12, 1))&gt;0, SUMIFS('Gastos e Ingresos 2026'!$E:$E, 'Gastos e Ingresos 2026'!$D:$D, "Gasto", 'Gastos e Ingresos 2026'!$C:$C, Q$2, 'Gastos e Ingresos 2026'!$A:$A, "&gt;="&amp;DATE(2026, 11, 1), 'Gastos e Ingresos 2026'!$A:$A, "&lt;"&amp;DATE(2026, 12, 1)), "")</f>
        <v/>
      </c>
      <c r="R13" s="78">
        <f>IF(COUNTIFS('Gastos e Ingresos 2026'!$A:$A, "&gt;="&amp;DATE(2026, 11, 1), 'Gastos e Ingresos 2026'!$A:$A, "&lt;"&amp;DATE(2026, 12, 1))&gt;0, SUMIFS('Gastos e Ingresos 2026'!$E:$E, 'Gastos e Ingresos 2026'!$D:$D, "Gasto", 'Gastos e Ingresos 2026'!$C:$C, R$2, 'Gastos e Ingresos 2026'!$A:$A, "&gt;="&amp;DATE(2026, 11, 1), 'Gastos e Ingresos 2026'!$A:$A, "&lt;"&amp;DATE(2026, 12, 1)), "")</f>
        <v/>
      </c>
    </row>
    <row r="14" ht="24" customHeight="1" s="18">
      <c r="A14" s="97" t="inlineStr">
        <is>
          <t>Diciembre</t>
        </is>
      </c>
      <c r="B14" s="78">
        <f>IF(COUNTIFS('Gastos e Ingresos 2026'!$A:$A, "&gt;="&amp;DATE(2026, 12, 1), 'Gastos e Ingresos 2026'!$A:$A, "&lt;"&amp;DATE(2026, 13, 1))&gt;0, SUMIFS('Gastos e Ingresos 2026'!$E:$E, 'Gastos e Ingresos 2026'!$D:$D, "Ingreso", 'Gastos e Ingresos 2026'!$A:$A, "&gt;="&amp;DATE(2026, 12, 1), 'Gastos e Ingresos 2026'!$A:$A, "&lt;"&amp;DATE(2026, 13, 1)), "")</f>
        <v/>
      </c>
      <c r="C14" s="78">
        <f>IF(COUNTIFS('Gastos e Ingresos 2026'!$A:$A, "&gt;="&amp;DATE(2026, 12, 1), 'Gastos e Ingresos 2026'!$A:$A, "&lt;"&amp;DATE(2026, 13, 1))&gt;0, SUMIFS('Gastos e Ingresos 2026'!$E:$E, 'Gastos e Ingresos 2026'!$D:$D, "Gasto", 'Gastos e Ingresos 2026'!$A:$A, "&gt;="&amp;DATE(2026, 12, 1), 'Gastos e Ingresos 2026'!$A:$A, "&lt;"&amp;DATE(2026, 13, 1)), "")</f>
        <v/>
      </c>
      <c r="D14" s="83">
        <f>IF(B14="","",B14-C14)</f>
        <v/>
      </c>
      <c r="E14" s="98">
        <f>IF(B14="","",IF(B14&gt;0, D14/B14, 0))</f>
        <v/>
      </c>
      <c r="F14" s="75">
        <f>IF(COUNTIFS('Gastos e Ingresos 2026'!$A:$A, "&gt;="&amp;DATE(2026, 12, 1), 'Gastos e Ingresos 2026'!$A:$A, "&lt;"&amp;DATE(2026, 13, 1))&gt;0, SUMIFS('Gastos e Ingresos 2026'!$E:$E, 'Gastos e Ingresos 2026'!$D:$D, "Gasto", 'Gastos e Ingresos 2026'!$C:$C, F$2, 'Gastos e Ingresos 2026'!$A:$A, "&gt;="&amp;DATE(2026, 12, 1), 'Gastos e Ingresos 2026'!$A:$A, "&lt;"&amp;DATE(2026, 13, 1)), "")</f>
        <v/>
      </c>
      <c r="G14" s="75">
        <f>IF(COUNTIFS('Gastos e Ingresos 2026'!$A:$A, "&gt;="&amp;DATE(2026, 12, 1), 'Gastos e Ingresos 2026'!$A:$A, "&lt;"&amp;DATE(2026, 13, 1))&gt;0, SUMIFS('Gastos e Ingresos 2026'!$E:$E, 'Gastos e Ingresos 2026'!$D:$D, "Gasto", 'Gastos e Ingresos 2026'!$C:$C, G$2, 'Gastos e Ingresos 2026'!$A:$A, "&gt;="&amp;DATE(2026, 12, 1), 'Gastos e Ingresos 2026'!$A:$A, "&lt;"&amp;DATE(2026, 13, 1)), "")</f>
        <v/>
      </c>
      <c r="H14" s="75">
        <f>IF(COUNTIFS('Gastos e Ingresos 2026'!$A:$A, "&gt;="&amp;DATE(2026, 12, 1), 'Gastos e Ingresos 2026'!$A:$A, "&lt;"&amp;DATE(2026, 13, 1))&gt;0, SUMIFS('Gastos e Ingresos 2026'!$E:$E, 'Gastos e Ingresos 2026'!$D:$D, "Gasto", 'Gastos e Ingresos 2026'!$C:$C, H$2, 'Gastos e Ingresos 2026'!$A:$A, "&gt;="&amp;DATE(2026, 12, 1), 'Gastos e Ingresos 2026'!$A:$A, "&lt;"&amp;DATE(2026, 13, 1)), "")</f>
        <v/>
      </c>
      <c r="I14" s="75">
        <f>IF(COUNTIFS('Gastos e Ingresos 2026'!$A:$A, "&gt;="&amp;DATE(2026, 12, 1), 'Gastos e Ingresos 2026'!$A:$A, "&lt;"&amp;DATE(2026, 13, 1))&gt;0, SUMIFS('Gastos e Ingresos 2026'!$E:$E, 'Gastos e Ingresos 2026'!$D:$D, "Gasto", 'Gastos e Ingresos 2026'!$C:$C, I$2, 'Gastos e Ingresos 2026'!$A:$A, "&gt;="&amp;DATE(2026, 12, 1), 'Gastos e Ingresos 2026'!$A:$A, "&lt;"&amp;DATE(2026, 13, 1)), "")</f>
        <v/>
      </c>
      <c r="J14" s="75">
        <f>IF(COUNTIFS('Gastos e Ingresos 2026'!$A:$A, "&gt;="&amp;DATE(2026, 12, 1), 'Gastos e Ingresos 2026'!$A:$A, "&lt;"&amp;DATE(2026, 13, 1))&gt;0, SUMIFS('Gastos e Ingresos 2026'!$E:$E, 'Gastos e Ingresos 2026'!$D:$D, "Gasto", 'Gastos e Ingresos 2026'!$C:$C, J$2, 'Gastos e Ingresos 2026'!$A:$A, "&gt;="&amp;DATE(2026, 12, 1), 'Gastos e Ingresos 2026'!$A:$A, "&lt;"&amp;DATE(2026, 13, 1)), "")</f>
        <v/>
      </c>
      <c r="K14" s="75">
        <f>IF(COUNTIFS('Gastos e Ingresos 2026'!$A:$A, "&gt;="&amp;DATE(2026, 12, 1), 'Gastos e Ingresos 2026'!$A:$A, "&lt;"&amp;DATE(2026, 13, 1))&gt;0, SUMIFS('Gastos e Ingresos 2026'!$E:$E, 'Gastos e Ingresos 2026'!$D:$D, "Gasto", 'Gastos e Ingresos 2026'!$C:$C, K$2, 'Gastos e Ingresos 2026'!$A:$A, "&gt;="&amp;DATE(2026, 12, 1), 'Gastos e Ingresos 2026'!$A:$A, "&lt;"&amp;DATE(2026, 13, 1)), "")</f>
        <v/>
      </c>
      <c r="L14" s="75">
        <f>IF(COUNTIFS('Gastos e Ingresos 2026'!$A:$A, "&gt;="&amp;DATE(2026, 12, 1), 'Gastos e Ingresos 2026'!$A:$A, "&lt;"&amp;DATE(2026, 13, 1))&gt;0, SUMIFS('Gastos e Ingresos 2026'!$E:$E, 'Gastos e Ingresos 2026'!$D:$D, "Gasto", 'Gastos e Ingresos 2026'!$C:$C, L$2, 'Gastos e Ingresos 2026'!$A:$A, "&gt;="&amp;DATE(2026, 12, 1), 'Gastos e Ingresos 2026'!$A:$A, "&lt;"&amp;DATE(2026, 13, 1)), "")</f>
        <v/>
      </c>
      <c r="M14" s="75">
        <f>IF(COUNTIFS('Gastos e Ingresos 2026'!$A:$A, "&gt;="&amp;DATE(2026, 12, 1), 'Gastos e Ingresos 2026'!$A:$A, "&lt;"&amp;DATE(2026, 13, 1))&gt;0, SUMIFS('Gastos e Ingresos 2026'!$E:$E, 'Gastos e Ingresos 2026'!$D:$D, "Gasto", 'Gastos e Ingresos 2026'!$C:$C, M$2, 'Gastos e Ingresos 2026'!$A:$A, "&gt;="&amp;DATE(2026, 12, 1), 'Gastos e Ingresos 2026'!$A:$A, "&lt;"&amp;DATE(2026, 13, 1)), "")</f>
        <v/>
      </c>
      <c r="N14" s="75">
        <f>IF(COUNTIFS('Gastos e Ingresos 2026'!$A:$A, "&gt;="&amp;DATE(2026, 12, 1), 'Gastos e Ingresos 2026'!$A:$A, "&lt;"&amp;DATE(2026, 13, 1))&gt;0, SUMIFS('Gastos e Ingresos 2026'!$E:$E, 'Gastos e Ingresos 2026'!$D:$D, "Gasto", 'Gastos e Ingresos 2026'!$C:$C, N$2, 'Gastos e Ingresos 2026'!$A:$A, "&gt;="&amp;DATE(2026, 12, 1), 'Gastos e Ingresos 2026'!$A:$A, "&lt;"&amp;DATE(2026, 13, 1)), "")</f>
        <v/>
      </c>
      <c r="O14" s="75">
        <f>IF(COUNTIFS('Gastos e Ingresos 2026'!$A:$A, "&gt;="&amp;DATE(2026, 12, 1), 'Gastos e Ingresos 2026'!$A:$A, "&lt;"&amp;DATE(2026, 13, 1))&gt;0, SUMIFS('Gastos e Ingresos 2026'!$E:$E, 'Gastos e Ingresos 2026'!$D:$D, "Gasto", 'Gastos e Ingresos 2026'!$C:$C, O$2, 'Gastos e Ingresos 2026'!$A:$A, "&gt;="&amp;DATE(2026, 12, 1), 'Gastos e Ingresos 2026'!$A:$A, "&lt;"&amp;DATE(2026, 13, 1)), "")</f>
        <v/>
      </c>
      <c r="P14" s="75">
        <f>IF(COUNTIFS('Gastos e Ingresos 2026'!$A:$A, "&gt;="&amp;DATE(2026, 12, 1), 'Gastos e Ingresos 2026'!$A:$A, "&lt;"&amp;DATE(2026, 13, 1))&gt;0, SUMIFS('Gastos e Ingresos 2026'!$E:$E, 'Gastos e Ingresos 2026'!$D:$D, "Gasto", 'Gastos e Ingresos 2026'!$C:$C, P$2, 'Gastos e Ingresos 2026'!$A:$A, "&gt;="&amp;DATE(2026, 12, 1), 'Gastos e Ingresos 2026'!$A:$A, "&lt;"&amp;DATE(2026, 13, 1)), "")</f>
        <v/>
      </c>
      <c r="Q14" s="75">
        <f>IF(COUNTIFS('Gastos e Ingresos 2026'!$A:$A, "&gt;="&amp;DATE(2026, 12, 1), 'Gastos e Ingresos 2026'!$A:$A, "&lt;"&amp;DATE(2026, 13, 1))&gt;0, SUMIFS('Gastos e Ingresos 2026'!$E:$E, 'Gastos e Ingresos 2026'!$D:$D, "Gasto", 'Gastos e Ingresos 2026'!$C:$C, Q$2, 'Gastos e Ingresos 2026'!$A:$A, "&gt;="&amp;DATE(2026, 12, 1), 'Gastos e Ingresos 2026'!$A:$A, "&lt;"&amp;DATE(2026, 13, 1)), "")</f>
        <v/>
      </c>
      <c r="R14" s="75">
        <f>IF(COUNTIFS('Gastos e Ingresos 2026'!$A:$A, "&gt;="&amp;DATE(2026, 12, 1), 'Gastos e Ingresos 2026'!$A:$A, "&lt;"&amp;DATE(2026, 13, 1))&gt;0, SUMIFS('Gastos e Ingresos 2026'!$E:$E, 'Gastos e Ingresos 2026'!$D:$D, "Gasto", 'Gastos e Ingresos 2026'!$C:$C, R$2, 'Gastos e Ingresos 2026'!$A:$A, "&gt;="&amp;DATE(2026, 12, 1), 'Gastos e Ingresos 2026'!$A:$A, "&lt;"&amp;DATE(2026, 13, 1)), "")</f>
        <v/>
      </c>
    </row>
    <row r="15" ht="26" customHeight="1" s="18">
      <c r="A15" s="99" t="inlineStr">
        <is>
          <t>Total Anual</t>
        </is>
      </c>
      <c r="B15" s="86">
        <f>SUM(B3:B14)</f>
        <v/>
      </c>
      <c r="C15" s="86">
        <f>SUM(C3:C14)</f>
        <v/>
      </c>
      <c r="D15" s="86">
        <f>B15-C15</f>
        <v/>
      </c>
      <c r="E15" s="100">
        <f>IF(B15&gt;0, D15/B15, 0)</f>
        <v/>
      </c>
      <c r="F15" s="86">
        <f>SUM(F3:F14)</f>
        <v/>
      </c>
      <c r="G15" s="86">
        <f>SUM(G3:G14)</f>
        <v/>
      </c>
      <c r="H15" s="86">
        <f>SUM(H3:H14)</f>
        <v/>
      </c>
      <c r="I15" s="86">
        <f>SUM(I3:I14)</f>
        <v/>
      </c>
      <c r="J15" s="86">
        <f>SUM(J3:J14)</f>
        <v/>
      </c>
      <c r="K15" s="86">
        <f>SUM(K3:K14)</f>
        <v/>
      </c>
      <c r="L15" s="86">
        <f>SUM(L3:L14)</f>
        <v/>
      </c>
      <c r="M15" s="86">
        <f>SUM(M3:M14)</f>
        <v/>
      </c>
      <c r="N15" s="86">
        <f>SUM(N3:N14)</f>
        <v/>
      </c>
      <c r="O15" s="86">
        <f>SUM(O3:O14)</f>
        <v/>
      </c>
      <c r="P15" s="86">
        <f>SUM(P3:P14)</f>
        <v/>
      </c>
      <c r="Q15" s="86">
        <f>SUM(Q3:Q14)</f>
        <v/>
      </c>
      <c r="R15" s="86">
        <f>SUM(R3:R14)</f>
        <v/>
      </c>
    </row>
  </sheetData>
  <conditionalFormatting sqref="D3:D14">
    <cfRule type="cellIs" priority="1" operator="greaterThanOrEqual" dxfId="7">
      <formula>0</formula>
    </cfRule>
    <cfRule type="cellIs" priority="2" operator="lessThan" dxfId="8">
      <formula>0</formula>
    </cfRule>
    <cfRule type="cellIs" priority="1" operator="greaterThanOrEqual" dxfId="7">
      <formula>0</formula>
    </cfRule>
    <cfRule type="cellIs" priority="2" operator="lessThan" dxfId="8">
      <formula>0</formula>
    </cfRule>
  </conditionalFormatting>
  <conditionalFormatting sqref="D15">
    <cfRule type="cellIs" priority="1" operator="greaterThanOrEqual" dxfId="7">
      <formula>0</formula>
    </cfRule>
    <cfRule type="cellIs" priority="2" operator="lessThan" dxfId="8">
      <formula>0</formula>
    </cfRule>
    <cfRule type="cellIs" priority="1" operator="greaterThanOrEqual" dxfId="7">
      <formula>0</formula>
    </cfRule>
    <cfRule type="cellIs" priority="2" operator="lessThan" dxfId="8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9"/>
  <sheetViews>
    <sheetView showGridLines="1" workbookViewId="0">
      <selection activeCell="A1" sqref="A1"/>
    </sheetView>
  </sheetViews>
  <sheetFormatPr baseColWidth="8" defaultRowHeight="15" outlineLevelCol="0"/>
  <cols>
    <col width="18" customWidth="1" style="18" min="1" max="1"/>
    <col width="32" customWidth="1" style="18" min="2" max="2"/>
    <col width="24" customWidth="1" style="18" min="3" max="3"/>
    <col width="16" customWidth="1" style="18" min="4" max="4"/>
    <col width="20" customWidth="1" style="18" min="5" max="5"/>
  </cols>
  <sheetData>
    <row r="1" ht="30" customHeight="1" s="18">
      <c r="A1" s="65" t="inlineStr">
        <is>
          <t>Fecha</t>
        </is>
      </c>
      <c r="B1" s="65" t="inlineStr">
        <is>
          <t>Descripción</t>
        </is>
      </c>
      <c r="C1" s="65" t="inlineStr">
        <is>
          <t>Categoría</t>
        </is>
      </c>
      <c r="D1" s="65" t="inlineStr">
        <is>
          <t>Tipo</t>
        </is>
      </c>
      <c r="E1" s="65" t="inlineStr">
        <is>
          <t>Importe (€)</t>
        </is>
      </c>
    </row>
    <row r="2" ht="25" customHeight="1" s="18">
      <c r="A2" s="101" t="n"/>
      <c r="B2" s="89" t="n"/>
      <c r="C2" s="74" t="n"/>
      <c r="D2" s="74" t="n"/>
      <c r="E2" s="75" t="n"/>
    </row>
    <row r="3" ht="25" customHeight="1" s="18">
      <c r="A3" s="102" t="n"/>
      <c r="B3" s="66" t="n"/>
      <c r="C3" s="77" t="n"/>
      <c r="D3" s="77" t="n"/>
      <c r="E3" s="78" t="n"/>
    </row>
    <row r="4" ht="25" customHeight="1" s="18">
      <c r="A4" s="101" t="n"/>
      <c r="B4" s="89" t="n"/>
      <c r="C4" s="74" t="n"/>
      <c r="D4" s="74" t="n"/>
      <c r="E4" s="75" t="n"/>
    </row>
    <row r="5" ht="25" customHeight="1" s="18">
      <c r="A5" s="102" t="n"/>
      <c r="B5" s="66" t="n"/>
      <c r="C5" s="77" t="n"/>
      <c r="D5" s="77" t="n"/>
      <c r="E5" s="78" t="n"/>
    </row>
    <row r="6" ht="25" customHeight="1" s="18">
      <c r="A6" s="101" t="n"/>
      <c r="B6" s="89" t="n"/>
      <c r="C6" s="74" t="n"/>
      <c r="D6" s="74" t="n"/>
      <c r="E6" s="75" t="n"/>
    </row>
    <row r="7" ht="25" customHeight="1" s="18">
      <c r="A7" s="102" t="n"/>
      <c r="B7" s="66" t="n"/>
      <c r="C7" s="77" t="n"/>
      <c r="D7" s="77" t="n"/>
      <c r="E7" s="78" t="n"/>
    </row>
    <row r="8" ht="25" customHeight="1" s="18">
      <c r="A8" s="101" t="n"/>
      <c r="B8" s="89" t="n"/>
      <c r="C8" s="74" t="n"/>
      <c r="D8" s="74" t="n"/>
      <c r="E8" s="75" t="n"/>
    </row>
    <row r="9" ht="25" customHeight="1" s="18">
      <c r="A9" s="102" t="n"/>
      <c r="B9" s="66" t="n"/>
      <c r="C9" s="77" t="n"/>
      <c r="D9" s="77" t="n"/>
      <c r="E9" s="78" t="n"/>
    </row>
    <row r="10" ht="25" customHeight="1" s="18">
      <c r="A10" s="101" t="n"/>
      <c r="B10" s="89" t="n"/>
      <c r="C10" s="74" t="n"/>
      <c r="D10" s="74" t="n"/>
      <c r="E10" s="75" t="n"/>
    </row>
    <row r="11" ht="25" customHeight="1" s="18">
      <c r="A11" s="102" t="n"/>
      <c r="B11" s="66" t="n"/>
      <c r="C11" s="77" t="n"/>
      <c r="D11" s="77" t="n"/>
      <c r="E11" s="78" t="n"/>
    </row>
    <row r="12" ht="25" customHeight="1" s="18">
      <c r="A12" s="101" t="n"/>
      <c r="B12" s="89" t="n"/>
      <c r="C12" s="74" t="n"/>
      <c r="D12" s="74" t="n"/>
      <c r="E12" s="75" t="n"/>
    </row>
    <row r="13" ht="25" customHeight="1" s="18">
      <c r="A13" s="102" t="n"/>
      <c r="B13" s="66" t="n"/>
      <c r="C13" s="77" t="n"/>
      <c r="D13" s="77" t="n"/>
      <c r="E13" s="78" t="n"/>
    </row>
    <row r="14" ht="25" customHeight="1" s="18">
      <c r="A14" s="101" t="n"/>
      <c r="B14" s="89" t="n"/>
      <c r="C14" s="74" t="n"/>
      <c r="D14" s="74" t="n"/>
      <c r="E14" s="75" t="n"/>
    </row>
    <row r="15" ht="25" customHeight="1" s="18">
      <c r="A15" s="102" t="n"/>
      <c r="B15" s="66" t="n"/>
      <c r="C15" s="77" t="n"/>
      <c r="D15" s="77" t="n"/>
      <c r="E15" s="78" t="n"/>
    </row>
    <row r="16" ht="25" customHeight="1" s="18">
      <c r="A16" s="101" t="n"/>
      <c r="B16" s="89" t="n"/>
      <c r="C16" s="74" t="n"/>
      <c r="D16" s="74" t="n"/>
      <c r="E16" s="75" t="n"/>
    </row>
    <row r="17" ht="25" customHeight="1" s="18">
      <c r="A17" s="102" t="n"/>
      <c r="B17" s="66" t="n"/>
      <c r="C17" s="77" t="n"/>
      <c r="D17" s="77" t="n"/>
      <c r="E17" s="78" t="n"/>
    </row>
    <row r="18" ht="25" customHeight="1" s="18">
      <c r="A18" s="101" t="n"/>
      <c r="B18" s="89" t="n"/>
      <c r="C18" s="74" t="n"/>
      <c r="D18" s="74" t="n"/>
      <c r="E18" s="75" t="n"/>
    </row>
    <row r="19" ht="25" customHeight="1" s="18">
      <c r="A19" s="102" t="n"/>
      <c r="B19" s="66" t="n"/>
      <c r="C19" s="77" t="n"/>
      <c r="D19" s="77" t="n"/>
      <c r="E19" s="78" t="n"/>
    </row>
    <row r="20" ht="25" customHeight="1" s="18">
      <c r="A20" s="101" t="n"/>
      <c r="B20" s="89" t="n"/>
      <c r="C20" s="74" t="n"/>
      <c r="D20" s="74" t="n"/>
      <c r="E20" s="75" t="n"/>
    </row>
    <row r="21" ht="25" customHeight="1" s="18">
      <c r="A21" s="102" t="n"/>
      <c r="B21" s="66" t="n"/>
      <c r="C21" s="77" t="n"/>
      <c r="D21" s="77" t="n"/>
      <c r="E21" s="78" t="n"/>
    </row>
    <row r="22" ht="25" customHeight="1" s="18">
      <c r="A22" s="101" t="n"/>
      <c r="B22" s="89" t="n"/>
      <c r="C22" s="74" t="n"/>
      <c r="D22" s="74" t="n"/>
      <c r="E22" s="75" t="n"/>
    </row>
    <row r="23" ht="25" customHeight="1" s="18">
      <c r="A23" s="102" t="n"/>
      <c r="B23" s="66" t="n"/>
      <c r="C23" s="77" t="n"/>
      <c r="D23" s="77" t="n"/>
      <c r="E23" s="78" t="n"/>
    </row>
    <row r="24" ht="25" customHeight="1" s="18">
      <c r="A24" s="101" t="n"/>
      <c r="B24" s="89" t="n"/>
      <c r="C24" s="74" t="n"/>
      <c r="D24" s="74" t="n"/>
      <c r="E24" s="75" t="n"/>
    </row>
    <row r="25" ht="25" customHeight="1" s="18">
      <c r="A25" s="102" t="n"/>
      <c r="B25" s="66" t="n"/>
      <c r="C25" s="77" t="n"/>
      <c r="D25" s="77" t="n"/>
      <c r="E25" s="78" t="n"/>
    </row>
    <row r="26" ht="25" customHeight="1" s="18">
      <c r="A26" s="101" t="n"/>
      <c r="B26" s="89" t="n"/>
      <c r="C26" s="74" t="n"/>
      <c r="D26" s="74" t="n"/>
      <c r="E26" s="75" t="n"/>
    </row>
    <row r="27" ht="25" customHeight="1" s="18">
      <c r="A27" s="102" t="n"/>
      <c r="B27" s="66" t="n"/>
      <c r="C27" s="77" t="n"/>
      <c r="D27" s="77" t="n"/>
      <c r="E27" s="78" t="n"/>
    </row>
    <row r="28" ht="25" customHeight="1" s="18">
      <c r="A28" s="101" t="n"/>
      <c r="B28" s="89" t="n"/>
      <c r="C28" s="74" t="n"/>
      <c r="D28" s="74" t="n"/>
      <c r="E28" s="75" t="n"/>
    </row>
    <row r="29" ht="25" customHeight="1" s="18">
      <c r="A29" s="102" t="n"/>
      <c r="B29" s="66" t="n"/>
      <c r="C29" s="77" t="n"/>
      <c r="D29" s="77" t="n"/>
      <c r="E29" s="78" t="n"/>
    </row>
    <row r="30" ht="25" customHeight="1" s="18">
      <c r="A30" s="101" t="n"/>
      <c r="B30" s="89" t="n"/>
      <c r="C30" s="74" t="n"/>
      <c r="D30" s="74" t="n"/>
      <c r="E30" s="75" t="n"/>
    </row>
    <row r="31" ht="25" customHeight="1" s="18">
      <c r="A31" s="102" t="n"/>
      <c r="B31" s="66" t="n"/>
      <c r="C31" s="77" t="n"/>
      <c r="D31" s="77" t="n"/>
      <c r="E31" s="78" t="n"/>
    </row>
    <row r="32" ht="25" customHeight="1" s="18">
      <c r="A32" s="101" t="n"/>
      <c r="B32" s="89" t="n"/>
      <c r="C32" s="74" t="n"/>
      <c r="D32" s="74" t="n"/>
      <c r="E32" s="75" t="n"/>
    </row>
    <row r="33" ht="25" customHeight="1" s="18">
      <c r="A33" s="102" t="n"/>
      <c r="B33" s="66" t="n"/>
      <c r="C33" s="77" t="n"/>
      <c r="D33" s="77" t="n"/>
      <c r="E33" s="78" t="n"/>
    </row>
    <row r="34" ht="25" customHeight="1" s="18">
      <c r="A34" s="101" t="n"/>
      <c r="B34" s="89" t="n"/>
      <c r="C34" s="74" t="n"/>
      <c r="D34" s="74" t="n"/>
      <c r="E34" s="75" t="n"/>
    </row>
    <row r="35" ht="25" customHeight="1" s="18">
      <c r="A35" s="102" t="n"/>
      <c r="B35" s="66" t="n"/>
      <c r="C35" s="77" t="n"/>
      <c r="D35" s="77" t="n"/>
      <c r="E35" s="78" t="n"/>
    </row>
    <row r="36" ht="25" customHeight="1" s="18">
      <c r="A36" s="101" t="n"/>
      <c r="B36" s="89" t="n"/>
      <c r="C36" s="74" t="n"/>
      <c r="D36" s="74" t="n"/>
      <c r="E36" s="75" t="n"/>
    </row>
    <row r="37" ht="25" customHeight="1" s="18">
      <c r="A37" s="102" t="n"/>
      <c r="B37" s="66" t="n"/>
      <c r="C37" s="77" t="n"/>
      <c r="D37" s="77" t="n"/>
      <c r="E37" s="78" t="n"/>
    </row>
    <row r="38" ht="25" customHeight="1" s="18">
      <c r="A38" s="101" t="n"/>
      <c r="B38" s="89" t="n"/>
      <c r="C38" s="74" t="n"/>
      <c r="D38" s="74" t="n"/>
      <c r="E38" s="75" t="n"/>
    </row>
    <row r="39" ht="25" customHeight="1" s="18">
      <c r="A39" s="102" t="n"/>
      <c r="B39" s="66" t="n"/>
      <c r="C39" s="77" t="n"/>
      <c r="D39" s="77" t="n"/>
      <c r="E39" s="78" t="n"/>
    </row>
    <row r="40" ht="25" customHeight="1" s="18">
      <c r="A40" s="101" t="n"/>
      <c r="B40" s="89" t="n"/>
      <c r="C40" s="74" t="n"/>
      <c r="D40" s="74" t="n"/>
      <c r="E40" s="75" t="n"/>
    </row>
    <row r="41" ht="25" customHeight="1" s="18">
      <c r="A41" s="102" t="n"/>
      <c r="B41" s="66" t="n"/>
      <c r="C41" s="77" t="n"/>
      <c r="D41" s="77" t="n"/>
      <c r="E41" s="78" t="n"/>
    </row>
    <row r="42" ht="25" customHeight="1" s="18">
      <c r="A42" s="101" t="n"/>
      <c r="B42" s="89" t="n"/>
      <c r="C42" s="74" t="n"/>
      <c r="D42" s="74" t="n"/>
      <c r="E42" s="75" t="n"/>
    </row>
    <row r="43" ht="25" customHeight="1" s="18">
      <c r="A43" s="102" t="n"/>
      <c r="B43" s="66" t="n"/>
      <c r="C43" s="77" t="n"/>
      <c r="D43" s="77" t="n"/>
      <c r="E43" s="78" t="n"/>
    </row>
    <row r="44" ht="25" customHeight="1" s="18">
      <c r="A44" s="101" t="n"/>
      <c r="B44" s="89" t="n"/>
      <c r="C44" s="74" t="n"/>
      <c r="D44" s="74" t="n"/>
      <c r="E44" s="75" t="n"/>
    </row>
    <row r="45" ht="25" customHeight="1" s="18">
      <c r="A45" s="102" t="n"/>
      <c r="B45" s="66" t="n"/>
      <c r="C45" s="77" t="n"/>
      <c r="D45" s="77" t="n"/>
      <c r="E45" s="78" t="n"/>
    </row>
    <row r="46" ht="25" customHeight="1" s="18">
      <c r="A46" s="101" t="n"/>
      <c r="B46" s="89" t="n"/>
      <c r="C46" s="74" t="n"/>
      <c r="D46" s="74" t="n"/>
      <c r="E46" s="75" t="n"/>
    </row>
    <row r="47" ht="25" customHeight="1" s="18">
      <c r="A47" s="102" t="n"/>
      <c r="B47" s="66" t="n"/>
      <c r="C47" s="77" t="n"/>
      <c r="D47" s="77" t="n"/>
      <c r="E47" s="78" t="n"/>
    </row>
    <row r="48" ht="25" customHeight="1" s="18">
      <c r="A48" s="101" t="n"/>
      <c r="B48" s="89" t="n"/>
      <c r="C48" s="74" t="n"/>
      <c r="D48" s="74" t="n"/>
      <c r="E48" s="75" t="n"/>
    </row>
    <row r="49" ht="25" customHeight="1" s="18">
      <c r="A49" s="102" t="n"/>
      <c r="B49" s="66" t="n"/>
      <c r="C49" s="77" t="n"/>
      <c r="D49" s="77" t="n"/>
      <c r="E49" s="78" t="n"/>
    </row>
    <row r="50" ht="25" customHeight="1" s="18">
      <c r="A50" s="101" t="n"/>
      <c r="B50" s="89" t="n"/>
      <c r="C50" s="74" t="n"/>
      <c r="D50" s="74" t="n"/>
      <c r="E50" s="75" t="n"/>
    </row>
    <row r="51" ht="25" customHeight="1" s="18">
      <c r="A51" s="102" t="n"/>
      <c r="B51" s="66" t="n"/>
      <c r="C51" s="77" t="n"/>
      <c r="D51" s="77" t="n"/>
      <c r="E51" s="78" t="n"/>
    </row>
    <row r="52" ht="25" customHeight="1" s="18">
      <c r="A52" s="101" t="n"/>
      <c r="B52" s="89" t="n"/>
      <c r="C52" s="74" t="n"/>
      <c r="D52" s="74" t="n"/>
      <c r="E52" s="75" t="n"/>
    </row>
    <row r="53" ht="25" customHeight="1" s="18">
      <c r="A53" s="102" t="n"/>
      <c r="B53" s="66" t="n"/>
      <c r="C53" s="77" t="n"/>
      <c r="D53" s="77" t="n"/>
      <c r="E53" s="78" t="n"/>
    </row>
    <row r="54" ht="25" customHeight="1" s="18">
      <c r="A54" s="101" t="n"/>
      <c r="B54" s="89" t="n"/>
      <c r="C54" s="74" t="n"/>
      <c r="D54" s="74" t="n"/>
      <c r="E54" s="75" t="n"/>
    </row>
    <row r="55" ht="25" customHeight="1" s="18">
      <c r="A55" s="102" t="n"/>
      <c r="B55" s="66" t="n"/>
      <c r="C55" s="77" t="n"/>
      <c r="D55" s="77" t="n"/>
      <c r="E55" s="78" t="n"/>
    </row>
    <row r="56" ht="25" customHeight="1" s="18">
      <c r="A56" s="101" t="n"/>
      <c r="B56" s="89" t="n"/>
      <c r="C56" s="74" t="n"/>
      <c r="D56" s="74" t="n"/>
      <c r="E56" s="75" t="n"/>
    </row>
    <row r="57" ht="25" customHeight="1" s="18">
      <c r="A57" s="102" t="n"/>
      <c r="B57" s="66" t="n"/>
      <c r="C57" s="77" t="n"/>
      <c r="D57" s="77" t="n"/>
      <c r="E57" s="78" t="n"/>
    </row>
    <row r="58" ht="25" customHeight="1" s="18">
      <c r="A58" s="101" t="n"/>
      <c r="B58" s="89" t="n"/>
      <c r="C58" s="74" t="n"/>
      <c r="D58" s="74" t="n"/>
      <c r="E58" s="75" t="n"/>
    </row>
    <row r="59" ht="25" customHeight="1" s="18">
      <c r="A59" s="102" t="n"/>
      <c r="B59" s="66" t="n"/>
      <c r="C59" s="77" t="n"/>
      <c r="D59" s="77" t="n"/>
      <c r="E59" s="78" t="n"/>
    </row>
    <row r="60" ht="25" customHeight="1" s="18">
      <c r="A60" s="101" t="n"/>
      <c r="B60" s="89" t="n"/>
      <c r="C60" s="74" t="n"/>
      <c r="D60" s="74" t="n"/>
      <c r="E60" s="75" t="n"/>
    </row>
    <row r="61" ht="25" customHeight="1" s="18">
      <c r="A61" s="102" t="n"/>
      <c r="B61" s="66" t="n"/>
      <c r="C61" s="77" t="n"/>
      <c r="D61" s="77" t="n"/>
      <c r="E61" s="78" t="n"/>
    </row>
    <row r="62" ht="25" customHeight="1" s="18">
      <c r="A62" s="101" t="n"/>
      <c r="B62" s="89" t="n"/>
      <c r="C62" s="74" t="n"/>
      <c r="D62" s="74" t="n"/>
      <c r="E62" s="75" t="n"/>
    </row>
    <row r="63" ht="25" customHeight="1" s="18">
      <c r="A63" s="102" t="n"/>
      <c r="B63" s="66" t="n"/>
      <c r="C63" s="77" t="n"/>
      <c r="D63" s="77" t="n"/>
      <c r="E63" s="78" t="n"/>
    </row>
    <row r="64" ht="25" customHeight="1" s="18">
      <c r="A64" s="101" t="n"/>
      <c r="B64" s="89" t="n"/>
      <c r="C64" s="74" t="n"/>
      <c r="D64" s="74" t="n"/>
      <c r="E64" s="75" t="n"/>
    </row>
    <row r="65" ht="25" customHeight="1" s="18">
      <c r="A65" s="102" t="n"/>
      <c r="B65" s="66" t="n"/>
      <c r="C65" s="77" t="n"/>
      <c r="D65" s="77" t="n"/>
      <c r="E65" s="78" t="n"/>
    </row>
    <row r="66" ht="25" customHeight="1" s="18">
      <c r="A66" s="101" t="n"/>
      <c r="B66" s="89" t="n"/>
      <c r="C66" s="74" t="n"/>
      <c r="D66" s="74" t="n"/>
      <c r="E66" s="75" t="n"/>
    </row>
    <row r="67" ht="25" customHeight="1" s="18">
      <c r="A67" s="102" t="n"/>
      <c r="B67" s="66" t="n"/>
      <c r="C67" s="77" t="n"/>
      <c r="D67" s="77" t="n"/>
      <c r="E67" s="78" t="n"/>
    </row>
    <row r="68" ht="25" customHeight="1" s="18">
      <c r="A68" s="101" t="n"/>
      <c r="B68" s="89" t="n"/>
      <c r="C68" s="74" t="n"/>
      <c r="D68" s="74" t="n"/>
      <c r="E68" s="75" t="n"/>
    </row>
    <row r="69" ht="25" customHeight="1" s="18">
      <c r="A69" s="102" t="n"/>
      <c r="B69" s="66" t="n"/>
      <c r="C69" s="77" t="n"/>
      <c r="D69" s="77" t="n"/>
      <c r="E69" s="78" t="n"/>
    </row>
    <row r="70" ht="25" customHeight="1" s="18">
      <c r="A70" s="101" t="n"/>
      <c r="B70" s="89" t="n"/>
      <c r="C70" s="74" t="n"/>
      <c r="D70" s="74" t="n"/>
      <c r="E70" s="75" t="n"/>
    </row>
    <row r="71" ht="25" customHeight="1" s="18">
      <c r="A71" s="102" t="n"/>
      <c r="B71" s="66" t="n"/>
      <c r="C71" s="77" t="n"/>
      <c r="D71" s="77" t="n"/>
      <c r="E71" s="78" t="n"/>
    </row>
    <row r="72" ht="25" customHeight="1" s="18">
      <c r="A72" s="101" t="n"/>
      <c r="B72" s="89" t="n"/>
      <c r="C72" s="74" t="n"/>
      <c r="D72" s="74" t="n"/>
      <c r="E72" s="75" t="n"/>
    </row>
    <row r="73" ht="25" customHeight="1" s="18">
      <c r="A73" s="102" t="n"/>
      <c r="B73" s="66" t="n"/>
      <c r="C73" s="77" t="n"/>
      <c r="D73" s="77" t="n"/>
      <c r="E73" s="78" t="n"/>
    </row>
    <row r="74" ht="25" customHeight="1" s="18">
      <c r="A74" s="101" t="n"/>
      <c r="B74" s="89" t="n"/>
      <c r="C74" s="74" t="n"/>
      <c r="D74" s="74" t="n"/>
      <c r="E74" s="75" t="n"/>
    </row>
    <row r="75" ht="25" customHeight="1" s="18">
      <c r="A75" s="102" t="n"/>
      <c r="B75" s="66" t="n"/>
      <c r="C75" s="77" t="n"/>
      <c r="D75" s="77" t="n"/>
      <c r="E75" s="78" t="n"/>
    </row>
    <row r="76" ht="25" customHeight="1" s="18">
      <c r="A76" s="101" t="n"/>
      <c r="B76" s="89" t="n"/>
      <c r="C76" s="74" t="n"/>
      <c r="D76" s="74" t="n"/>
      <c r="E76" s="75" t="n"/>
    </row>
    <row r="77" ht="25" customHeight="1" s="18">
      <c r="A77" s="102" t="n"/>
      <c r="B77" s="66" t="n"/>
      <c r="C77" s="77" t="n"/>
      <c r="D77" s="77" t="n"/>
      <c r="E77" s="78" t="n"/>
    </row>
    <row r="78" ht="25" customHeight="1" s="18">
      <c r="A78" s="101" t="n"/>
      <c r="B78" s="89" t="n"/>
      <c r="C78" s="74" t="n"/>
      <c r="D78" s="74" t="n"/>
      <c r="E78" s="75" t="n"/>
    </row>
    <row r="79" ht="25" customHeight="1" s="18">
      <c r="A79" s="102" t="n"/>
      <c r="B79" s="66" t="n"/>
      <c r="C79" s="77" t="n"/>
      <c r="D79" s="77" t="n"/>
      <c r="E79" s="78" t="n"/>
    </row>
    <row r="80" ht="25" customHeight="1" s="18">
      <c r="A80" s="101" t="n"/>
      <c r="B80" s="89" t="n"/>
      <c r="C80" s="74" t="n"/>
      <c r="D80" s="74" t="n"/>
      <c r="E80" s="75" t="n"/>
    </row>
    <row r="81" ht="25" customHeight="1" s="18">
      <c r="A81" s="102" t="n"/>
      <c r="B81" s="66" t="n"/>
      <c r="C81" s="77" t="n"/>
      <c r="D81" s="77" t="n"/>
      <c r="E81" s="78" t="n"/>
    </row>
    <row r="82" ht="25" customHeight="1" s="18">
      <c r="A82" s="101" t="n"/>
      <c r="B82" s="89" t="n"/>
      <c r="C82" s="74" t="n"/>
      <c r="D82" s="74" t="n"/>
      <c r="E82" s="75" t="n"/>
    </row>
    <row r="83" ht="25" customHeight="1" s="18">
      <c r="A83" s="102" t="n"/>
      <c r="B83" s="66" t="n"/>
      <c r="C83" s="77" t="n"/>
      <c r="D83" s="77" t="n"/>
      <c r="E83" s="78" t="n"/>
    </row>
    <row r="84" ht="25" customHeight="1" s="18">
      <c r="A84" s="101" t="n"/>
      <c r="B84" s="89" t="n"/>
      <c r="C84" s="74" t="n"/>
      <c r="D84" s="74" t="n"/>
      <c r="E84" s="75" t="n"/>
    </row>
    <row r="85" ht="25" customHeight="1" s="18">
      <c r="A85" s="102" t="n"/>
      <c r="B85" s="66" t="n"/>
      <c r="C85" s="77" t="n"/>
      <c r="D85" s="77" t="n"/>
      <c r="E85" s="78" t="n"/>
    </row>
    <row r="86" ht="25" customHeight="1" s="18">
      <c r="A86" s="101" t="n"/>
      <c r="B86" s="89" t="n"/>
      <c r="C86" s="74" t="n"/>
      <c r="D86" s="74" t="n"/>
      <c r="E86" s="75" t="n"/>
    </row>
    <row r="87" ht="25" customHeight="1" s="18">
      <c r="A87" s="102" t="n"/>
      <c r="B87" s="66" t="n"/>
      <c r="C87" s="77" t="n"/>
      <c r="D87" s="77" t="n"/>
      <c r="E87" s="78" t="n"/>
    </row>
    <row r="88" ht="25" customHeight="1" s="18">
      <c r="A88" s="101" t="n"/>
      <c r="B88" s="89" t="n"/>
      <c r="C88" s="74" t="n"/>
      <c r="D88" s="74" t="n"/>
      <c r="E88" s="75" t="n"/>
    </row>
    <row r="89" ht="25" customHeight="1" s="18">
      <c r="A89" s="102" t="n"/>
      <c r="B89" s="66" t="n"/>
      <c r="C89" s="77" t="n"/>
      <c r="D89" s="77" t="n"/>
      <c r="E89" s="78" t="n"/>
    </row>
    <row r="90" ht="25" customHeight="1" s="18">
      <c r="A90" s="101" t="n"/>
      <c r="B90" s="89" t="n"/>
      <c r="C90" s="74" t="n"/>
      <c r="D90" s="74" t="n"/>
      <c r="E90" s="75" t="n"/>
    </row>
    <row r="91" ht="25" customHeight="1" s="18">
      <c r="A91" s="102" t="n"/>
      <c r="B91" s="66" t="n"/>
      <c r="C91" s="77" t="n"/>
      <c r="D91" s="77" t="n"/>
      <c r="E91" s="78" t="n"/>
    </row>
    <row r="92" ht="25" customHeight="1" s="18">
      <c r="A92" s="101" t="n"/>
      <c r="B92" s="89" t="n"/>
      <c r="C92" s="74" t="n"/>
      <c r="D92" s="74" t="n"/>
      <c r="E92" s="75" t="n"/>
    </row>
    <row r="93" ht="25" customHeight="1" s="18">
      <c r="A93" s="102" t="n"/>
      <c r="B93" s="66" t="n"/>
      <c r="C93" s="77" t="n"/>
      <c r="D93" s="77" t="n"/>
      <c r="E93" s="78" t="n"/>
    </row>
    <row r="94" ht="25" customHeight="1" s="18">
      <c r="A94" s="101" t="n"/>
      <c r="B94" s="89" t="n"/>
      <c r="C94" s="74" t="n"/>
      <c r="D94" s="74" t="n"/>
      <c r="E94" s="75" t="n"/>
    </row>
    <row r="95" ht="25" customHeight="1" s="18">
      <c r="A95" s="102" t="n"/>
      <c r="B95" s="66" t="n"/>
      <c r="C95" s="77" t="n"/>
      <c r="D95" s="77" t="n"/>
      <c r="E95" s="78" t="n"/>
    </row>
    <row r="96" ht="25" customHeight="1" s="18">
      <c r="A96" s="101" t="n"/>
      <c r="B96" s="89" t="n"/>
      <c r="C96" s="74" t="n"/>
      <c r="D96" s="74" t="n"/>
      <c r="E96" s="75" t="n"/>
    </row>
    <row r="97" ht="25" customHeight="1" s="18">
      <c r="A97" s="102" t="n"/>
      <c r="B97" s="66" t="n"/>
      <c r="C97" s="77" t="n"/>
      <c r="D97" s="77" t="n"/>
      <c r="E97" s="78" t="n"/>
    </row>
    <row r="98" ht="25" customHeight="1" s="18">
      <c r="A98" s="101" t="n"/>
      <c r="B98" s="89" t="n"/>
      <c r="C98" s="74" t="n"/>
      <c r="D98" s="74" t="n"/>
      <c r="E98" s="75" t="n"/>
    </row>
    <row r="99" ht="25" customHeight="1" s="18">
      <c r="A99" s="102" t="n"/>
      <c r="B99" s="66" t="n"/>
      <c r="C99" s="77" t="n"/>
      <c r="D99" s="77" t="n"/>
      <c r="E99" s="78" t="n"/>
    </row>
    <row r="100" ht="25" customHeight="1" s="18">
      <c r="A100" s="101" t="n"/>
      <c r="B100" s="89" t="n"/>
      <c r="C100" s="74" t="n"/>
      <c r="D100" s="74" t="n"/>
      <c r="E100" s="75" t="n"/>
    </row>
    <row r="101" ht="25" customHeight="1" s="18">
      <c r="A101" s="102" t="n"/>
      <c r="B101" s="66" t="n"/>
      <c r="C101" s="77" t="n"/>
      <c r="D101" s="77" t="n"/>
      <c r="E101" s="78" t="n"/>
    </row>
    <row r="102" ht="25" customHeight="1" s="18">
      <c r="A102" s="101" t="n"/>
      <c r="B102" s="89" t="n"/>
      <c r="C102" s="74" t="n"/>
      <c r="D102" s="74" t="n"/>
      <c r="E102" s="75" t="n"/>
    </row>
    <row r="103" ht="25" customHeight="1" s="18">
      <c r="A103" s="102" t="n"/>
      <c r="B103" s="66" t="n"/>
      <c r="C103" s="77" t="n"/>
      <c r="D103" s="77" t="n"/>
      <c r="E103" s="78" t="n"/>
    </row>
    <row r="104" ht="25" customHeight="1" s="18">
      <c r="A104" s="101" t="n"/>
      <c r="B104" s="89" t="n"/>
      <c r="C104" s="74" t="n"/>
      <c r="D104" s="74" t="n"/>
      <c r="E104" s="75" t="n"/>
    </row>
    <row r="105" ht="25" customHeight="1" s="18">
      <c r="A105" s="102" t="n"/>
      <c r="B105" s="66" t="n"/>
      <c r="C105" s="77" t="n"/>
      <c r="D105" s="77" t="n"/>
      <c r="E105" s="78" t="n"/>
    </row>
    <row r="106" ht="25" customHeight="1" s="18">
      <c r="A106" s="101" t="n"/>
      <c r="B106" s="89" t="n"/>
      <c r="C106" s="74" t="n"/>
      <c r="D106" s="74" t="n"/>
      <c r="E106" s="75" t="n"/>
    </row>
    <row r="107" ht="25" customHeight="1" s="18">
      <c r="A107" s="102" t="n"/>
      <c r="B107" s="66" t="n"/>
      <c r="C107" s="77" t="n"/>
      <c r="D107" s="77" t="n"/>
      <c r="E107" s="78" t="n"/>
    </row>
    <row r="108" ht="25" customHeight="1" s="18">
      <c r="A108" s="101" t="n"/>
      <c r="B108" s="89" t="n"/>
      <c r="C108" s="74" t="n"/>
      <c r="D108" s="74" t="n"/>
      <c r="E108" s="75" t="n"/>
    </row>
    <row r="109" ht="25" customHeight="1" s="18">
      <c r="A109" s="102" t="n"/>
      <c r="B109" s="66" t="n"/>
      <c r="C109" s="77" t="n"/>
      <c r="D109" s="77" t="n"/>
      <c r="E109" s="78" t="n"/>
    </row>
    <row r="110" ht="25" customHeight="1" s="18">
      <c r="A110" s="101" t="n"/>
      <c r="B110" s="89" t="n"/>
      <c r="C110" s="74" t="n"/>
      <c r="D110" s="74" t="n"/>
      <c r="E110" s="75" t="n"/>
    </row>
    <row r="111" ht="25" customHeight="1" s="18">
      <c r="A111" s="102" t="n"/>
      <c r="B111" s="66" t="n"/>
      <c r="C111" s="77" t="n"/>
      <c r="D111" s="77" t="n"/>
      <c r="E111" s="78" t="n"/>
    </row>
    <row r="112" ht="25" customHeight="1" s="18">
      <c r="A112" s="101" t="n"/>
      <c r="B112" s="89" t="n"/>
      <c r="C112" s="74" t="n"/>
      <c r="D112" s="74" t="n"/>
      <c r="E112" s="75" t="n"/>
    </row>
    <row r="113" ht="25" customHeight="1" s="18">
      <c r="A113" s="102" t="n"/>
      <c r="B113" s="66" t="n"/>
      <c r="C113" s="77" t="n"/>
      <c r="D113" s="77" t="n"/>
      <c r="E113" s="78" t="n"/>
    </row>
    <row r="114" ht="25" customHeight="1" s="18">
      <c r="A114" s="101" t="n"/>
      <c r="B114" s="89" t="n"/>
      <c r="C114" s="74" t="n"/>
      <c r="D114" s="74" t="n"/>
      <c r="E114" s="75" t="n"/>
    </row>
    <row r="115" ht="25" customHeight="1" s="18">
      <c r="A115" s="102" t="n"/>
      <c r="B115" s="66" t="n"/>
      <c r="C115" s="77" t="n"/>
      <c r="D115" s="77" t="n"/>
      <c r="E115" s="78" t="n"/>
    </row>
    <row r="116" ht="25" customHeight="1" s="18">
      <c r="A116" s="101" t="n"/>
      <c r="B116" s="89" t="n"/>
      <c r="C116" s="74" t="n"/>
      <c r="D116" s="74" t="n"/>
      <c r="E116" s="75" t="n"/>
    </row>
    <row r="117" ht="25" customHeight="1" s="18">
      <c r="A117" s="102" t="n"/>
      <c r="B117" s="66" t="n"/>
      <c r="C117" s="77" t="n"/>
      <c r="D117" s="77" t="n"/>
      <c r="E117" s="78" t="n"/>
    </row>
    <row r="118" ht="25" customHeight="1" s="18">
      <c r="A118" s="101" t="n"/>
      <c r="B118" s="89" t="n"/>
      <c r="C118" s="74" t="n"/>
      <c r="D118" s="74" t="n"/>
      <c r="E118" s="75" t="n"/>
    </row>
    <row r="119" ht="25" customHeight="1" s="18">
      <c r="A119" s="102" t="n"/>
      <c r="B119" s="66" t="n"/>
      <c r="C119" s="77" t="n"/>
      <c r="D119" s="77" t="n"/>
      <c r="E119" s="78" t="n"/>
    </row>
    <row r="120" ht="25" customHeight="1" s="18">
      <c r="A120" s="101" t="n"/>
      <c r="B120" s="89" t="n"/>
      <c r="C120" s="74" t="n"/>
      <c r="D120" s="74" t="n"/>
      <c r="E120" s="75" t="n"/>
    </row>
    <row r="121" ht="25" customHeight="1" s="18">
      <c r="A121" s="102" t="n"/>
      <c r="B121" s="66" t="n"/>
      <c r="C121" s="77" t="n"/>
      <c r="D121" s="77" t="n"/>
      <c r="E121" s="78" t="n"/>
    </row>
    <row r="122" ht="25" customHeight="1" s="18">
      <c r="A122" s="101" t="n"/>
      <c r="B122" s="89" t="n"/>
      <c r="C122" s="74" t="n"/>
      <c r="D122" s="74" t="n"/>
      <c r="E122" s="75" t="n"/>
    </row>
    <row r="123" ht="25" customHeight="1" s="18">
      <c r="A123" s="102" t="n"/>
      <c r="B123" s="66" t="n"/>
      <c r="C123" s="77" t="n"/>
      <c r="D123" s="77" t="n"/>
      <c r="E123" s="78" t="n"/>
    </row>
    <row r="124" ht="25" customHeight="1" s="18">
      <c r="A124" s="101" t="n"/>
      <c r="B124" s="89" t="n"/>
      <c r="C124" s="74" t="n"/>
      <c r="D124" s="74" t="n"/>
      <c r="E124" s="75" t="n"/>
    </row>
    <row r="125" ht="25" customHeight="1" s="18">
      <c r="A125" s="102" t="n"/>
      <c r="B125" s="66" t="n"/>
      <c r="C125" s="77" t="n"/>
      <c r="D125" s="77" t="n"/>
      <c r="E125" s="78" t="n"/>
    </row>
    <row r="126" ht="25" customHeight="1" s="18">
      <c r="A126" s="101" t="n"/>
      <c r="B126" s="89" t="n"/>
      <c r="C126" s="74" t="n"/>
      <c r="D126" s="74" t="n"/>
      <c r="E126" s="75" t="n"/>
    </row>
    <row r="127" ht="25" customHeight="1" s="18">
      <c r="A127" s="102" t="n"/>
      <c r="B127" s="66" t="n"/>
      <c r="C127" s="77" t="n"/>
      <c r="D127" s="77" t="n"/>
      <c r="E127" s="78" t="n"/>
    </row>
    <row r="128" ht="25" customHeight="1" s="18">
      <c r="A128" s="101" t="n"/>
      <c r="B128" s="89" t="n"/>
      <c r="C128" s="74" t="n"/>
      <c r="D128" s="74" t="n"/>
      <c r="E128" s="75" t="n"/>
    </row>
    <row r="129" ht="25" customHeight="1" s="18">
      <c r="A129" s="102" t="n"/>
      <c r="B129" s="66" t="n"/>
      <c r="C129" s="77" t="n"/>
      <c r="D129" s="77" t="n"/>
      <c r="E129" s="78" t="n"/>
    </row>
    <row r="130" ht="25" customHeight="1" s="18">
      <c r="A130" s="101" t="n"/>
      <c r="B130" s="89" t="n"/>
      <c r="C130" s="74" t="n"/>
      <c r="D130" s="74" t="n"/>
      <c r="E130" s="75" t="n"/>
    </row>
    <row r="131" ht="25" customHeight="1" s="18">
      <c r="A131" s="102" t="n"/>
      <c r="B131" s="66" t="n"/>
      <c r="C131" s="77" t="n"/>
      <c r="D131" s="77" t="n"/>
      <c r="E131" s="78" t="n"/>
    </row>
    <row r="132" ht="25" customHeight="1" s="18">
      <c r="A132" s="101" t="n"/>
      <c r="B132" s="89" t="n"/>
      <c r="C132" s="74" t="n"/>
      <c r="D132" s="74" t="n"/>
      <c r="E132" s="75" t="n"/>
    </row>
    <row r="133" ht="25" customHeight="1" s="18">
      <c r="A133" s="102" t="n"/>
      <c r="B133" s="66" t="n"/>
      <c r="C133" s="77" t="n"/>
      <c r="D133" s="77" t="n"/>
      <c r="E133" s="78" t="n"/>
    </row>
    <row r="134" ht="25" customHeight="1" s="18">
      <c r="A134" s="101" t="n"/>
      <c r="B134" s="89" t="n"/>
      <c r="C134" s="74" t="n"/>
      <c r="D134" s="74" t="n"/>
      <c r="E134" s="75" t="n"/>
    </row>
    <row r="135" ht="25" customHeight="1" s="18">
      <c r="A135" s="102" t="n"/>
      <c r="B135" s="66" t="n"/>
      <c r="C135" s="77" t="n"/>
      <c r="D135" s="77" t="n"/>
      <c r="E135" s="78" t="n"/>
    </row>
    <row r="136" ht="25" customHeight="1" s="18">
      <c r="A136" s="101" t="n"/>
      <c r="B136" s="89" t="n"/>
      <c r="C136" s="74" t="n"/>
      <c r="D136" s="74" t="n"/>
      <c r="E136" s="75" t="n"/>
    </row>
    <row r="137" ht="25" customHeight="1" s="18">
      <c r="A137" s="102" t="n"/>
      <c r="B137" s="66" t="n"/>
      <c r="C137" s="77" t="n"/>
      <c r="D137" s="77" t="n"/>
      <c r="E137" s="78" t="n"/>
    </row>
    <row r="138" ht="25" customHeight="1" s="18">
      <c r="A138" s="101" t="n"/>
      <c r="B138" s="89" t="n"/>
      <c r="C138" s="74" t="n"/>
      <c r="D138" s="74" t="n"/>
      <c r="E138" s="75" t="n"/>
    </row>
    <row r="139" ht="25" customHeight="1" s="18">
      <c r="A139" s="102" t="n"/>
      <c r="B139" s="66" t="n"/>
      <c r="C139" s="77" t="n"/>
      <c r="D139" s="77" t="n"/>
      <c r="E139" s="78" t="n"/>
    </row>
    <row r="140" ht="25" customHeight="1" s="18">
      <c r="A140" s="101" t="n"/>
      <c r="B140" s="89" t="n"/>
      <c r="C140" s="74" t="n"/>
      <c r="D140" s="74" t="n"/>
      <c r="E140" s="75" t="n"/>
    </row>
    <row r="141" ht="25" customHeight="1" s="18">
      <c r="A141" s="102" t="n"/>
      <c r="B141" s="66" t="n"/>
      <c r="C141" s="77" t="n"/>
      <c r="D141" s="77" t="n"/>
      <c r="E141" s="78" t="n"/>
    </row>
    <row r="142" ht="25" customHeight="1" s="18">
      <c r="A142" s="101" t="n"/>
      <c r="B142" s="89" t="n"/>
      <c r="C142" s="74" t="n"/>
      <c r="D142" s="74" t="n"/>
      <c r="E142" s="75" t="n"/>
    </row>
    <row r="143" ht="25" customHeight="1" s="18">
      <c r="A143" s="102" t="n"/>
      <c r="B143" s="66" t="n"/>
      <c r="C143" s="77" t="n"/>
      <c r="D143" s="77" t="n"/>
      <c r="E143" s="78" t="n"/>
    </row>
    <row r="144" ht="25" customHeight="1" s="18">
      <c r="A144" s="101" t="n"/>
      <c r="B144" s="89" t="n"/>
      <c r="C144" s="74" t="n"/>
      <c r="D144" s="74" t="n"/>
      <c r="E144" s="75" t="n"/>
    </row>
    <row r="145" ht="25" customHeight="1" s="18">
      <c r="A145" s="102" t="n"/>
      <c r="B145" s="66" t="n"/>
      <c r="C145" s="77" t="n"/>
      <c r="D145" s="77" t="n"/>
      <c r="E145" s="78" t="n"/>
    </row>
    <row r="146" ht="25" customHeight="1" s="18">
      <c r="A146" s="101" t="n"/>
      <c r="B146" s="89" t="n"/>
      <c r="C146" s="74" t="n"/>
      <c r="D146" s="74" t="n"/>
      <c r="E146" s="75" t="n"/>
    </row>
    <row r="147" ht="25" customHeight="1" s="18">
      <c r="A147" s="102" t="n"/>
      <c r="B147" s="66" t="n"/>
      <c r="C147" s="77" t="n"/>
      <c r="D147" s="77" t="n"/>
      <c r="E147" s="78" t="n"/>
    </row>
    <row r="148" ht="25" customHeight="1" s="18">
      <c r="A148" s="101" t="n"/>
      <c r="B148" s="89" t="n"/>
      <c r="C148" s="74" t="n"/>
      <c r="D148" s="74" t="n"/>
      <c r="E148" s="75" t="n"/>
    </row>
    <row r="149" ht="25" customHeight="1" s="18">
      <c r="A149" s="102" t="n"/>
      <c r="B149" s="66" t="n"/>
      <c r="C149" s="77" t="n"/>
      <c r="D149" s="77" t="n"/>
      <c r="E149" s="78" t="n"/>
    </row>
    <row r="150" ht="25" customHeight="1" s="18">
      <c r="A150" s="101" t="n"/>
      <c r="B150" s="89" t="n"/>
      <c r="C150" s="74" t="n"/>
      <c r="D150" s="74" t="n"/>
      <c r="E150" s="75" t="n"/>
    </row>
    <row r="151" ht="25" customHeight="1" s="18">
      <c r="A151" s="102" t="n"/>
      <c r="B151" s="66" t="n"/>
      <c r="C151" s="77" t="n"/>
      <c r="D151" s="77" t="n"/>
      <c r="E151" s="78" t="n"/>
    </row>
    <row r="152" ht="25" customHeight="1" s="18">
      <c r="A152" s="101" t="n"/>
      <c r="B152" s="89" t="n"/>
      <c r="C152" s="74" t="n"/>
      <c r="D152" s="74" t="n"/>
      <c r="E152" s="75" t="n"/>
    </row>
    <row r="153" ht="25" customHeight="1" s="18">
      <c r="A153" s="102" t="n"/>
      <c r="B153" s="66" t="n"/>
      <c r="C153" s="77" t="n"/>
      <c r="D153" s="77" t="n"/>
      <c r="E153" s="78" t="n"/>
    </row>
    <row r="154" ht="25" customHeight="1" s="18">
      <c r="A154" s="101" t="n"/>
      <c r="B154" s="89" t="n"/>
      <c r="C154" s="74" t="n"/>
      <c r="D154" s="74" t="n"/>
      <c r="E154" s="75" t="n"/>
    </row>
    <row r="155" ht="25" customHeight="1" s="18">
      <c r="A155" s="102" t="n"/>
      <c r="B155" s="66" t="n"/>
      <c r="C155" s="77" t="n"/>
      <c r="D155" s="77" t="n"/>
      <c r="E155" s="78" t="n"/>
    </row>
    <row r="156" ht="25" customHeight="1" s="18">
      <c r="A156" s="101" t="n"/>
      <c r="B156" s="89" t="n"/>
      <c r="C156" s="74" t="n"/>
      <c r="D156" s="74" t="n"/>
      <c r="E156" s="75" t="n"/>
    </row>
    <row r="157" ht="25" customHeight="1" s="18">
      <c r="A157" s="102" t="n"/>
      <c r="B157" s="66" t="n"/>
      <c r="C157" s="77" t="n"/>
      <c r="D157" s="77" t="n"/>
      <c r="E157" s="78" t="n"/>
    </row>
    <row r="158" ht="25" customHeight="1" s="18">
      <c r="A158" s="101" t="n"/>
      <c r="B158" s="89" t="n"/>
      <c r="C158" s="74" t="n"/>
      <c r="D158" s="74" t="n"/>
      <c r="E158" s="75" t="n"/>
    </row>
    <row r="159" ht="25" customHeight="1" s="18">
      <c r="A159" s="102" t="n"/>
      <c r="B159" s="66" t="n"/>
      <c r="C159" s="77" t="n"/>
      <c r="D159" s="77" t="n"/>
      <c r="E159" s="78" t="n"/>
    </row>
    <row r="160" ht="25" customHeight="1" s="18">
      <c r="A160" s="101" t="n"/>
      <c r="B160" s="89" t="n"/>
      <c r="C160" s="74" t="n"/>
      <c r="D160" s="74" t="n"/>
      <c r="E160" s="75" t="n"/>
    </row>
    <row r="161" ht="25" customHeight="1" s="18">
      <c r="A161" s="102" t="n"/>
      <c r="B161" s="66" t="n"/>
      <c r="C161" s="77" t="n"/>
      <c r="D161" s="77" t="n"/>
      <c r="E161" s="78" t="n"/>
    </row>
    <row r="162" ht="25" customHeight="1" s="18">
      <c r="A162" s="101" t="n"/>
      <c r="B162" s="89" t="n"/>
      <c r="C162" s="74" t="n"/>
      <c r="D162" s="74" t="n"/>
      <c r="E162" s="75" t="n"/>
    </row>
    <row r="163" ht="25" customHeight="1" s="18">
      <c r="A163" s="102" t="n"/>
      <c r="B163" s="66" t="n"/>
      <c r="C163" s="77" t="n"/>
      <c r="D163" s="77" t="n"/>
      <c r="E163" s="78" t="n"/>
    </row>
    <row r="164" ht="25" customHeight="1" s="18">
      <c r="A164" s="101" t="n"/>
      <c r="B164" s="89" t="n"/>
      <c r="C164" s="74" t="n"/>
      <c r="D164" s="74" t="n"/>
      <c r="E164" s="75" t="n"/>
    </row>
    <row r="165" ht="25" customHeight="1" s="18">
      <c r="A165" s="102" t="n"/>
      <c r="B165" s="66" t="n"/>
      <c r="C165" s="77" t="n"/>
      <c r="D165" s="77" t="n"/>
      <c r="E165" s="78" t="n"/>
    </row>
    <row r="166" ht="25" customHeight="1" s="18">
      <c r="A166" s="101" t="n"/>
      <c r="B166" s="89" t="n"/>
      <c r="C166" s="74" t="n"/>
      <c r="D166" s="74" t="n"/>
      <c r="E166" s="75" t="n"/>
    </row>
    <row r="167" ht="25" customHeight="1" s="18">
      <c r="A167" s="102" t="n"/>
      <c r="B167" s="66" t="n"/>
      <c r="C167" s="77" t="n"/>
      <c r="D167" s="77" t="n"/>
      <c r="E167" s="78" t="n"/>
    </row>
    <row r="168" ht="25" customHeight="1" s="18">
      <c r="A168" s="101" t="n"/>
      <c r="B168" s="89" t="n"/>
      <c r="C168" s="74" t="n"/>
      <c r="D168" s="74" t="n"/>
      <c r="E168" s="75" t="n"/>
    </row>
    <row r="169" ht="25" customHeight="1" s="18">
      <c r="A169" s="102" t="n"/>
      <c r="B169" s="66" t="n"/>
      <c r="C169" s="77" t="n"/>
      <c r="D169" s="77" t="n"/>
      <c r="E169" s="78" t="n"/>
    </row>
    <row r="170" ht="25" customHeight="1" s="18">
      <c r="A170" s="101" t="n"/>
      <c r="B170" s="89" t="n"/>
      <c r="C170" s="74" t="n"/>
      <c r="D170" s="74" t="n"/>
      <c r="E170" s="75" t="n"/>
    </row>
    <row r="171" ht="25" customHeight="1" s="18">
      <c r="A171" s="102" t="n"/>
      <c r="B171" s="66" t="n"/>
      <c r="C171" s="77" t="n"/>
      <c r="D171" s="77" t="n"/>
      <c r="E171" s="78" t="n"/>
    </row>
    <row r="172" ht="25" customHeight="1" s="18">
      <c r="A172" s="101" t="n"/>
      <c r="B172" s="89" t="n"/>
      <c r="C172" s="74" t="n"/>
      <c r="D172" s="74" t="n"/>
      <c r="E172" s="75" t="n"/>
    </row>
    <row r="173" ht="25" customHeight="1" s="18">
      <c r="A173" s="102" t="n"/>
      <c r="B173" s="66" t="n"/>
      <c r="C173" s="77" t="n"/>
      <c r="D173" s="77" t="n"/>
      <c r="E173" s="78" t="n"/>
    </row>
    <row r="174" ht="25" customHeight="1" s="18">
      <c r="A174" s="101" t="n"/>
      <c r="B174" s="89" t="n"/>
      <c r="C174" s="74" t="n"/>
      <c r="D174" s="74" t="n"/>
      <c r="E174" s="75" t="n"/>
    </row>
    <row r="175" ht="25" customHeight="1" s="18">
      <c r="A175" s="102" t="n"/>
      <c r="B175" s="66" t="n"/>
      <c r="C175" s="77" t="n"/>
      <c r="D175" s="77" t="n"/>
      <c r="E175" s="78" t="n"/>
    </row>
    <row r="176" ht="25" customHeight="1" s="18">
      <c r="A176" s="101" t="n"/>
      <c r="B176" s="89" t="n"/>
      <c r="C176" s="74" t="n"/>
      <c r="D176" s="74" t="n"/>
      <c r="E176" s="75" t="n"/>
    </row>
    <row r="177" ht="25" customHeight="1" s="18">
      <c r="A177" s="102" t="n"/>
      <c r="B177" s="66" t="n"/>
      <c r="C177" s="77" t="n"/>
      <c r="D177" s="77" t="n"/>
      <c r="E177" s="78" t="n"/>
    </row>
    <row r="178" ht="25" customHeight="1" s="18">
      <c r="A178" s="101" t="n"/>
      <c r="B178" s="89" t="n"/>
      <c r="C178" s="74" t="n"/>
      <c r="D178" s="74" t="n"/>
      <c r="E178" s="75" t="n"/>
    </row>
    <row r="179" ht="25" customHeight="1" s="18">
      <c r="A179" s="102" t="n"/>
      <c r="B179" s="66" t="n"/>
      <c r="C179" s="77" t="n"/>
      <c r="D179" s="77" t="n"/>
      <c r="E179" s="78" t="n"/>
    </row>
    <row r="180" ht="25" customHeight="1" s="18">
      <c r="A180" s="101" t="n"/>
      <c r="B180" s="89" t="n"/>
      <c r="C180" s="74" t="n"/>
      <c r="D180" s="74" t="n"/>
      <c r="E180" s="75" t="n"/>
    </row>
    <row r="181" ht="25" customHeight="1" s="18">
      <c r="A181" s="102" t="n"/>
      <c r="B181" s="66" t="n"/>
      <c r="C181" s="77" t="n"/>
      <c r="D181" s="77" t="n"/>
      <c r="E181" s="78" t="n"/>
    </row>
    <row r="182" ht="25" customHeight="1" s="18">
      <c r="A182" s="101" t="n"/>
      <c r="B182" s="89" t="n"/>
      <c r="C182" s="74" t="n"/>
      <c r="D182" s="74" t="n"/>
      <c r="E182" s="75" t="n"/>
    </row>
    <row r="183" ht="25" customHeight="1" s="18">
      <c r="A183" s="102" t="n"/>
      <c r="B183" s="66" t="n"/>
      <c r="C183" s="77" t="n"/>
      <c r="D183" s="77" t="n"/>
      <c r="E183" s="78" t="n"/>
    </row>
    <row r="184" ht="25" customHeight="1" s="18">
      <c r="A184" s="101" t="n"/>
      <c r="B184" s="89" t="n"/>
      <c r="C184" s="74" t="n"/>
      <c r="D184" s="74" t="n"/>
      <c r="E184" s="75" t="n"/>
    </row>
    <row r="185" ht="25" customHeight="1" s="18">
      <c r="A185" s="102" t="n"/>
      <c r="B185" s="66" t="n"/>
      <c r="C185" s="77" t="n"/>
      <c r="D185" s="77" t="n"/>
      <c r="E185" s="78" t="n"/>
    </row>
    <row r="186" ht="25" customHeight="1" s="18">
      <c r="A186" s="101" t="n"/>
      <c r="B186" s="89" t="n"/>
      <c r="C186" s="74" t="n"/>
      <c r="D186" s="74" t="n"/>
      <c r="E186" s="75" t="n"/>
    </row>
    <row r="187" ht="25" customHeight="1" s="18">
      <c r="A187" s="102" t="n"/>
      <c r="B187" s="66" t="n"/>
      <c r="C187" s="77" t="n"/>
      <c r="D187" s="77" t="n"/>
      <c r="E187" s="78" t="n"/>
    </row>
    <row r="188" ht="25" customHeight="1" s="18">
      <c r="A188" s="101" t="n"/>
      <c r="B188" s="89" t="n"/>
      <c r="C188" s="74" t="n"/>
      <c r="D188" s="74" t="n"/>
      <c r="E188" s="75" t="n"/>
    </row>
    <row r="189" ht="25" customHeight="1" s="18">
      <c r="A189" s="102" t="n"/>
      <c r="B189" s="66" t="n"/>
      <c r="C189" s="77" t="n"/>
      <c r="D189" s="77" t="n"/>
      <c r="E189" s="78" t="n"/>
    </row>
    <row r="190" ht="25" customHeight="1" s="18">
      <c r="A190" s="101" t="n"/>
      <c r="B190" s="89" t="n"/>
      <c r="C190" s="74" t="n"/>
      <c r="D190" s="74" t="n"/>
      <c r="E190" s="75" t="n"/>
    </row>
    <row r="191" ht="25" customHeight="1" s="18">
      <c r="A191" s="102" t="n"/>
      <c r="B191" s="66" t="n"/>
      <c r="C191" s="77" t="n"/>
      <c r="D191" s="77" t="n"/>
      <c r="E191" s="78" t="n"/>
    </row>
    <row r="192" ht="25" customHeight="1" s="18">
      <c r="A192" s="101" t="n"/>
      <c r="B192" s="89" t="n"/>
      <c r="C192" s="74" t="n"/>
      <c r="D192" s="74" t="n"/>
      <c r="E192" s="75" t="n"/>
    </row>
    <row r="193" ht="25" customHeight="1" s="18">
      <c r="A193" s="102" t="n"/>
      <c r="B193" s="66" t="n"/>
      <c r="C193" s="77" t="n"/>
      <c r="D193" s="77" t="n"/>
      <c r="E193" s="78" t="n"/>
    </row>
    <row r="194" ht="25" customHeight="1" s="18">
      <c r="A194" s="101" t="n"/>
      <c r="B194" s="89" t="n"/>
      <c r="C194" s="74" t="n"/>
      <c r="D194" s="74" t="n"/>
      <c r="E194" s="75" t="n"/>
    </row>
    <row r="195" ht="25" customHeight="1" s="18">
      <c r="A195" s="102" t="n"/>
      <c r="B195" s="66" t="n"/>
      <c r="C195" s="77" t="n"/>
      <c r="D195" s="77" t="n"/>
      <c r="E195" s="78" t="n"/>
    </row>
    <row r="196" ht="25" customHeight="1" s="18">
      <c r="A196" s="101" t="n"/>
      <c r="B196" s="89" t="n"/>
      <c r="C196" s="74" t="n"/>
      <c r="D196" s="74" t="n"/>
      <c r="E196" s="75" t="n"/>
    </row>
    <row r="197" ht="25" customHeight="1" s="18">
      <c r="A197" s="102" t="n"/>
      <c r="B197" s="66" t="n"/>
      <c r="C197" s="77" t="n"/>
      <c r="D197" s="77" t="n"/>
      <c r="E197" s="78" t="n"/>
    </row>
    <row r="198" ht="25" customHeight="1" s="18">
      <c r="A198" s="101" t="n"/>
      <c r="B198" s="89" t="n"/>
      <c r="C198" s="74" t="n"/>
      <c r="D198" s="74" t="n"/>
      <c r="E198" s="75" t="n"/>
    </row>
    <row r="199" ht="25" customHeight="1" s="18">
      <c r="A199" s="102" t="n"/>
      <c r="B199" s="66" t="n"/>
      <c r="C199" s="77" t="n"/>
      <c r="D199" s="77" t="n"/>
      <c r="E199" s="78" t="n"/>
    </row>
    <row r="200" ht="25" customHeight="1" s="18">
      <c r="A200" s="101" t="n"/>
      <c r="B200" s="89" t="n"/>
      <c r="C200" s="74" t="n"/>
      <c r="D200" s="74" t="n"/>
      <c r="E200" s="75" t="n"/>
    </row>
    <row r="201" ht="25" customHeight="1" s="18">
      <c r="A201" s="102" t="n"/>
      <c r="B201" s="66" t="n"/>
      <c r="C201" s="77" t="n"/>
      <c r="D201" s="77" t="n"/>
      <c r="E201" s="78" t="n"/>
    </row>
    <row r="202" ht="25" customHeight="1" s="18">
      <c r="A202" s="101" t="n"/>
      <c r="B202" s="89" t="n"/>
      <c r="C202" s="74" t="n"/>
      <c r="D202" s="74" t="n"/>
      <c r="E202" s="75" t="n"/>
    </row>
    <row r="203" ht="25" customHeight="1" s="18">
      <c r="A203" s="102" t="n"/>
      <c r="B203" s="66" t="n"/>
      <c r="C203" s="77" t="n"/>
      <c r="D203" s="77" t="n"/>
      <c r="E203" s="78" t="n"/>
    </row>
    <row r="204" ht="25" customHeight="1" s="18">
      <c r="A204" s="101" t="n"/>
      <c r="B204" s="89" t="n"/>
      <c r="C204" s="74" t="n"/>
      <c r="D204" s="74" t="n"/>
      <c r="E204" s="75" t="n"/>
    </row>
    <row r="205" ht="25" customHeight="1" s="18">
      <c r="A205" s="102" t="n"/>
      <c r="B205" s="66" t="n"/>
      <c r="C205" s="77" t="n"/>
      <c r="D205" s="77" t="n"/>
      <c r="E205" s="78" t="n"/>
    </row>
    <row r="206" ht="25" customHeight="1" s="18">
      <c r="A206" s="101" t="n"/>
      <c r="B206" s="89" t="n"/>
      <c r="C206" s="74" t="n"/>
      <c r="D206" s="74" t="n"/>
      <c r="E206" s="75" t="n"/>
    </row>
    <row r="207" ht="25" customHeight="1" s="18">
      <c r="A207" s="102" t="n"/>
      <c r="B207" s="66" t="n"/>
      <c r="C207" s="77" t="n"/>
      <c r="D207" s="77" t="n"/>
      <c r="E207" s="78" t="n"/>
    </row>
    <row r="208" ht="25" customHeight="1" s="18">
      <c r="A208" s="101" t="n"/>
      <c r="B208" s="89" t="n"/>
      <c r="C208" s="74" t="n"/>
      <c r="D208" s="74" t="n"/>
      <c r="E208" s="75" t="n"/>
    </row>
    <row r="209" ht="25" customHeight="1" s="18">
      <c r="A209" s="102" t="n"/>
      <c r="B209" s="66" t="n"/>
      <c r="C209" s="77" t="n"/>
      <c r="D209" s="77" t="n"/>
      <c r="E209" s="78" t="n"/>
    </row>
    <row r="210" ht="25" customHeight="1" s="18">
      <c r="A210" s="101" t="n"/>
      <c r="B210" s="89" t="n"/>
      <c r="C210" s="74" t="n"/>
      <c r="D210" s="74" t="n"/>
      <c r="E210" s="75" t="n"/>
    </row>
    <row r="211" ht="25" customHeight="1" s="18">
      <c r="A211" s="102" t="n"/>
      <c r="B211" s="66" t="n"/>
      <c r="C211" s="77" t="n"/>
      <c r="D211" s="77" t="n"/>
      <c r="E211" s="78" t="n"/>
    </row>
    <row r="212" ht="25" customHeight="1" s="18">
      <c r="A212" s="101" t="n"/>
      <c r="B212" s="89" t="n"/>
      <c r="C212" s="74" t="n"/>
      <c r="D212" s="74" t="n"/>
      <c r="E212" s="75" t="n"/>
    </row>
    <row r="213" ht="25" customHeight="1" s="18">
      <c r="A213" s="102" t="n"/>
      <c r="B213" s="66" t="n"/>
      <c r="C213" s="77" t="n"/>
      <c r="D213" s="77" t="n"/>
      <c r="E213" s="78" t="n"/>
    </row>
    <row r="214" ht="25" customHeight="1" s="18">
      <c r="A214" s="101" t="n"/>
      <c r="B214" s="89" t="n"/>
      <c r="C214" s="74" t="n"/>
      <c r="D214" s="74" t="n"/>
      <c r="E214" s="75" t="n"/>
    </row>
    <row r="215" ht="25" customHeight="1" s="18">
      <c r="A215" s="102" t="n"/>
      <c r="B215" s="66" t="n"/>
      <c r="C215" s="77" t="n"/>
      <c r="D215" s="77" t="n"/>
      <c r="E215" s="78" t="n"/>
    </row>
    <row r="216" ht="25" customHeight="1" s="18">
      <c r="A216" s="101" t="n"/>
      <c r="B216" s="89" t="n"/>
      <c r="C216" s="74" t="n"/>
      <c r="D216" s="74" t="n"/>
      <c r="E216" s="75" t="n"/>
    </row>
    <row r="217" ht="25" customHeight="1" s="18">
      <c r="A217" s="102" t="n"/>
      <c r="B217" s="66" t="n"/>
      <c r="C217" s="77" t="n"/>
      <c r="D217" s="77" t="n"/>
      <c r="E217" s="78" t="n"/>
    </row>
    <row r="218" ht="25" customHeight="1" s="18">
      <c r="A218" s="101" t="n"/>
      <c r="B218" s="89" t="n"/>
      <c r="C218" s="74" t="n"/>
      <c r="D218" s="74" t="n"/>
      <c r="E218" s="75" t="n"/>
    </row>
    <row r="219" ht="25" customHeight="1" s="18">
      <c r="A219" s="102" t="n"/>
      <c r="B219" s="66" t="n"/>
      <c r="C219" s="77" t="n"/>
      <c r="D219" s="77" t="n"/>
      <c r="E219" s="78" t="n"/>
    </row>
    <row r="220" ht="25" customHeight="1" s="18">
      <c r="A220" s="101" t="n"/>
      <c r="B220" s="89" t="n"/>
      <c r="C220" s="74" t="n"/>
      <c r="D220" s="74" t="n"/>
      <c r="E220" s="75" t="n"/>
    </row>
    <row r="221" ht="25" customHeight="1" s="18">
      <c r="A221" s="102" t="n"/>
      <c r="B221" s="66" t="n"/>
      <c r="C221" s="77" t="n"/>
      <c r="D221" s="77" t="n"/>
      <c r="E221" s="78" t="n"/>
    </row>
    <row r="222" ht="25" customHeight="1" s="18">
      <c r="A222" s="101" t="n"/>
      <c r="B222" s="89" t="n"/>
      <c r="C222" s="74" t="n"/>
      <c r="D222" s="74" t="n"/>
      <c r="E222" s="75" t="n"/>
    </row>
    <row r="223" ht="25" customHeight="1" s="18">
      <c r="A223" s="102" t="n"/>
      <c r="B223" s="66" t="n"/>
      <c r="C223" s="77" t="n"/>
      <c r="D223" s="77" t="n"/>
      <c r="E223" s="78" t="n"/>
    </row>
    <row r="224" ht="25" customHeight="1" s="18">
      <c r="A224" s="101" t="n"/>
      <c r="B224" s="89" t="n"/>
      <c r="C224" s="74" t="n"/>
      <c r="D224" s="74" t="n"/>
      <c r="E224" s="75" t="n"/>
    </row>
    <row r="225" ht="25" customHeight="1" s="18">
      <c r="A225" s="102" t="n"/>
      <c r="B225" s="66" t="n"/>
      <c r="C225" s="77" t="n"/>
      <c r="D225" s="77" t="n"/>
      <c r="E225" s="78" t="n"/>
    </row>
    <row r="226" ht="25" customHeight="1" s="18">
      <c r="A226" s="101" t="n"/>
      <c r="B226" s="89" t="n"/>
      <c r="C226" s="74" t="n"/>
      <c r="D226" s="74" t="n"/>
      <c r="E226" s="75" t="n"/>
    </row>
    <row r="227" ht="25" customHeight="1" s="18">
      <c r="A227" s="102" t="n"/>
      <c r="B227" s="66" t="n"/>
      <c r="C227" s="77" t="n"/>
      <c r="D227" s="77" t="n"/>
      <c r="E227" s="78" t="n"/>
    </row>
    <row r="228" ht="25" customHeight="1" s="18">
      <c r="A228" s="101" t="n"/>
      <c r="B228" s="89" t="n"/>
      <c r="C228" s="74" t="n"/>
      <c r="D228" s="74" t="n"/>
      <c r="E228" s="75" t="n"/>
    </row>
    <row r="229" ht="25" customHeight="1" s="18">
      <c r="A229" s="102" t="n"/>
      <c r="B229" s="66" t="n"/>
      <c r="C229" s="77" t="n"/>
      <c r="D229" s="77" t="n"/>
      <c r="E229" s="78" t="n"/>
    </row>
    <row r="230" ht="25" customHeight="1" s="18">
      <c r="A230" s="101" t="n"/>
      <c r="B230" s="89" t="n"/>
      <c r="C230" s="74" t="n"/>
      <c r="D230" s="74" t="n"/>
      <c r="E230" s="75" t="n"/>
    </row>
    <row r="231" ht="25" customHeight="1" s="18">
      <c r="A231" s="102" t="n"/>
      <c r="B231" s="66" t="n"/>
      <c r="C231" s="77" t="n"/>
      <c r="D231" s="77" t="n"/>
      <c r="E231" s="78" t="n"/>
    </row>
    <row r="232" ht="25" customHeight="1" s="18">
      <c r="A232" s="101" t="n"/>
      <c r="B232" s="89" t="n"/>
      <c r="C232" s="74" t="n"/>
      <c r="D232" s="74" t="n"/>
      <c r="E232" s="75" t="n"/>
    </row>
    <row r="233" ht="25" customHeight="1" s="18">
      <c r="A233" s="102" t="n"/>
      <c r="B233" s="66" t="n"/>
      <c r="C233" s="77" t="n"/>
      <c r="D233" s="77" t="n"/>
      <c r="E233" s="78" t="n"/>
    </row>
    <row r="234" ht="25" customHeight="1" s="18">
      <c r="A234" s="101" t="n"/>
      <c r="B234" s="89" t="n"/>
      <c r="C234" s="74" t="n"/>
      <c r="D234" s="74" t="n"/>
      <c r="E234" s="75" t="n"/>
    </row>
    <row r="235" ht="25" customHeight="1" s="18">
      <c r="A235" s="102" t="n"/>
      <c r="B235" s="66" t="n"/>
      <c r="C235" s="77" t="n"/>
      <c r="D235" s="77" t="n"/>
      <c r="E235" s="78" t="n"/>
    </row>
    <row r="236" ht="25" customHeight="1" s="18">
      <c r="A236" s="101" t="n"/>
      <c r="B236" s="89" t="n"/>
      <c r="C236" s="74" t="n"/>
      <c r="D236" s="74" t="n"/>
      <c r="E236" s="75" t="n"/>
    </row>
    <row r="237" ht="25" customHeight="1" s="18">
      <c r="A237" s="102" t="n"/>
      <c r="B237" s="66" t="n"/>
      <c r="C237" s="77" t="n"/>
      <c r="D237" s="77" t="n"/>
      <c r="E237" s="78" t="n"/>
    </row>
    <row r="238" ht="25" customHeight="1" s="18">
      <c r="A238" s="101" t="n"/>
      <c r="B238" s="89" t="n"/>
      <c r="C238" s="74" t="n"/>
      <c r="D238" s="74" t="n"/>
      <c r="E238" s="75" t="n"/>
    </row>
    <row r="239" ht="25" customHeight="1" s="18">
      <c r="A239" s="102" t="n"/>
      <c r="B239" s="66" t="n"/>
      <c r="C239" s="77" t="n"/>
      <c r="D239" s="77" t="n"/>
      <c r="E239" s="78" t="n"/>
    </row>
    <row r="240" ht="25" customHeight="1" s="18">
      <c r="A240" s="101" t="n"/>
      <c r="B240" s="89" t="n"/>
      <c r="C240" s="74" t="n"/>
      <c r="D240" s="74" t="n"/>
      <c r="E240" s="75" t="n"/>
    </row>
    <row r="241" ht="25" customHeight="1" s="18">
      <c r="A241" s="102" t="n"/>
      <c r="B241" s="66" t="n"/>
      <c r="C241" s="77" t="n"/>
      <c r="D241" s="77" t="n"/>
      <c r="E241" s="78" t="n"/>
    </row>
    <row r="242" ht="25" customHeight="1" s="18">
      <c r="A242" s="101" t="n"/>
      <c r="B242" s="89" t="n"/>
      <c r="C242" s="74" t="n"/>
      <c r="D242" s="74" t="n"/>
      <c r="E242" s="75" t="n"/>
    </row>
    <row r="243" ht="25" customHeight="1" s="18">
      <c r="A243" s="102" t="n"/>
      <c r="B243" s="66" t="n"/>
      <c r="C243" s="77" t="n"/>
      <c r="D243" s="77" t="n"/>
      <c r="E243" s="78" t="n"/>
    </row>
    <row r="244" ht="25" customHeight="1" s="18">
      <c r="A244" s="101" t="n"/>
      <c r="B244" s="89" t="n"/>
      <c r="C244" s="74" t="n"/>
      <c r="D244" s="74" t="n"/>
      <c r="E244" s="75" t="n"/>
    </row>
    <row r="245" ht="25" customHeight="1" s="18">
      <c r="A245" s="102" t="n"/>
      <c r="B245" s="66" t="n"/>
      <c r="C245" s="77" t="n"/>
      <c r="D245" s="77" t="n"/>
      <c r="E245" s="78" t="n"/>
    </row>
    <row r="246" ht="25" customHeight="1" s="18">
      <c r="A246" s="101" t="n"/>
      <c r="B246" s="89" t="n"/>
      <c r="C246" s="74" t="n"/>
      <c r="D246" s="74" t="n"/>
      <c r="E246" s="75" t="n"/>
    </row>
    <row r="247" ht="25" customHeight="1" s="18">
      <c r="A247" s="102" t="n"/>
      <c r="B247" s="66" t="n"/>
      <c r="C247" s="77" t="n"/>
      <c r="D247" s="77" t="n"/>
      <c r="E247" s="78" t="n"/>
    </row>
    <row r="248" ht="25" customHeight="1" s="18">
      <c r="A248" s="101" t="n"/>
      <c r="B248" s="89" t="n"/>
      <c r="C248" s="74" t="n"/>
      <c r="D248" s="74" t="n"/>
      <c r="E248" s="75" t="n"/>
    </row>
    <row r="249" ht="25" customHeight="1" s="18">
      <c r="A249" s="102" t="n"/>
      <c r="B249" s="66" t="n"/>
      <c r="C249" s="77" t="n"/>
      <c r="D249" s="77" t="n"/>
      <c r="E249" s="78" t="n"/>
    </row>
    <row r="250" ht="25" customHeight="1" s="18">
      <c r="A250" s="101" t="n"/>
      <c r="B250" s="89" t="n"/>
      <c r="C250" s="74" t="n"/>
      <c r="D250" s="74" t="n"/>
      <c r="E250" s="75" t="n"/>
    </row>
    <row r="251" ht="25" customHeight="1" s="18">
      <c r="A251" s="102" t="n"/>
      <c r="B251" s="66" t="n"/>
      <c r="C251" s="77" t="n"/>
      <c r="D251" s="77" t="n"/>
      <c r="E251" s="78" t="n"/>
    </row>
    <row r="252" ht="25" customHeight="1" s="18">
      <c r="A252" s="101" t="n"/>
      <c r="B252" s="89" t="n"/>
      <c r="C252" s="74" t="n"/>
      <c r="D252" s="74" t="n"/>
      <c r="E252" s="75" t="n"/>
    </row>
    <row r="253" ht="25" customHeight="1" s="18">
      <c r="A253" s="102" t="n"/>
      <c r="B253" s="66" t="n"/>
      <c r="C253" s="77" t="n"/>
      <c r="D253" s="77" t="n"/>
      <c r="E253" s="78" t="n"/>
    </row>
    <row r="254" ht="25" customHeight="1" s="18">
      <c r="A254" s="101" t="n"/>
      <c r="B254" s="89" t="n"/>
      <c r="C254" s="74" t="n"/>
      <c r="D254" s="74" t="n"/>
      <c r="E254" s="75" t="n"/>
    </row>
    <row r="255" ht="25" customHeight="1" s="18">
      <c r="A255" s="102" t="n"/>
      <c r="B255" s="66" t="n"/>
      <c r="C255" s="77" t="n"/>
      <c r="D255" s="77" t="n"/>
      <c r="E255" s="78" t="n"/>
    </row>
    <row r="256" ht="25" customHeight="1" s="18">
      <c r="A256" s="101" t="n"/>
      <c r="B256" s="89" t="n"/>
      <c r="C256" s="74" t="n"/>
      <c r="D256" s="74" t="n"/>
      <c r="E256" s="75" t="n"/>
    </row>
    <row r="257" ht="25" customHeight="1" s="18">
      <c r="A257" s="102" t="n"/>
      <c r="B257" s="66" t="n"/>
      <c r="C257" s="77" t="n"/>
      <c r="D257" s="77" t="n"/>
      <c r="E257" s="78" t="n"/>
    </row>
    <row r="258" ht="25" customHeight="1" s="18">
      <c r="A258" s="101" t="n"/>
      <c r="B258" s="89" t="n"/>
      <c r="C258" s="74" t="n"/>
      <c r="D258" s="74" t="n"/>
      <c r="E258" s="75" t="n"/>
    </row>
    <row r="259" ht="25" customHeight="1" s="18">
      <c r="A259" s="102" t="n"/>
      <c r="B259" s="66" t="n"/>
      <c r="C259" s="77" t="n"/>
      <c r="D259" s="77" t="n"/>
      <c r="E259" s="78" t="n"/>
    </row>
    <row r="260" ht="25" customHeight="1" s="18">
      <c r="A260" s="101" t="n"/>
      <c r="B260" s="89" t="n"/>
      <c r="C260" s="74" t="n"/>
      <c r="D260" s="74" t="n"/>
      <c r="E260" s="75" t="n"/>
    </row>
    <row r="261" ht="25" customHeight="1" s="18">
      <c r="A261" s="102" t="n"/>
      <c r="B261" s="66" t="n"/>
      <c r="C261" s="77" t="n"/>
      <c r="D261" s="77" t="n"/>
      <c r="E261" s="78" t="n"/>
    </row>
    <row r="262" ht="25" customHeight="1" s="18">
      <c r="A262" s="101" t="n"/>
      <c r="B262" s="89" t="n"/>
      <c r="C262" s="74" t="n"/>
      <c r="D262" s="74" t="n"/>
      <c r="E262" s="75" t="n"/>
    </row>
    <row r="263" ht="25" customHeight="1" s="18">
      <c r="A263" s="102" t="n"/>
      <c r="B263" s="66" t="n"/>
      <c r="C263" s="77" t="n"/>
      <c r="D263" s="77" t="n"/>
      <c r="E263" s="78" t="n"/>
    </row>
    <row r="264" ht="25" customHeight="1" s="18">
      <c r="A264" s="101" t="n"/>
      <c r="B264" s="89" t="n"/>
      <c r="C264" s="74" t="n"/>
      <c r="D264" s="74" t="n"/>
      <c r="E264" s="75" t="n"/>
    </row>
    <row r="265" ht="25" customHeight="1" s="18">
      <c r="A265" s="102" t="n"/>
      <c r="B265" s="66" t="n"/>
      <c r="C265" s="77" t="n"/>
      <c r="D265" s="77" t="n"/>
      <c r="E265" s="78" t="n"/>
    </row>
    <row r="266" ht="25" customHeight="1" s="18">
      <c r="A266" s="101" t="n"/>
      <c r="B266" s="89" t="n"/>
      <c r="C266" s="74" t="n"/>
      <c r="D266" s="74" t="n"/>
      <c r="E266" s="75" t="n"/>
    </row>
    <row r="267" ht="25" customHeight="1" s="18">
      <c r="A267" s="102" t="n"/>
      <c r="B267" s="66" t="n"/>
      <c r="C267" s="77" t="n"/>
      <c r="D267" s="77" t="n"/>
      <c r="E267" s="78" t="n"/>
    </row>
    <row r="268" ht="25" customHeight="1" s="18">
      <c r="A268" s="101" t="n"/>
      <c r="B268" s="89" t="n"/>
      <c r="C268" s="74" t="n"/>
      <c r="D268" s="74" t="n"/>
      <c r="E268" s="75" t="n"/>
    </row>
    <row r="269" ht="25" customHeight="1" s="18">
      <c r="A269" s="102" t="n"/>
      <c r="B269" s="66" t="n"/>
      <c r="C269" s="77" t="n"/>
      <c r="D269" s="77" t="n"/>
      <c r="E269" s="78" t="n"/>
    </row>
    <row r="270" ht="25" customHeight="1" s="18">
      <c r="A270" s="101" t="n"/>
      <c r="B270" s="89" t="n"/>
      <c r="C270" s="74" t="n"/>
      <c r="D270" s="74" t="n"/>
      <c r="E270" s="75" t="n"/>
    </row>
    <row r="271" ht="25" customHeight="1" s="18">
      <c r="A271" s="102" t="n"/>
      <c r="B271" s="66" t="n"/>
      <c r="C271" s="77" t="n"/>
      <c r="D271" s="77" t="n"/>
      <c r="E271" s="78" t="n"/>
    </row>
    <row r="272" ht="25" customHeight="1" s="18">
      <c r="A272" s="101" t="n"/>
      <c r="B272" s="89" t="n"/>
      <c r="C272" s="74" t="n"/>
      <c r="D272" s="74" t="n"/>
      <c r="E272" s="75" t="n"/>
    </row>
    <row r="273" ht="25" customHeight="1" s="18">
      <c r="A273" s="102" t="n"/>
      <c r="B273" s="66" t="n"/>
      <c r="C273" s="77" t="n"/>
      <c r="D273" s="77" t="n"/>
      <c r="E273" s="78" t="n"/>
    </row>
    <row r="274" ht="25" customHeight="1" s="18">
      <c r="A274" s="101" t="n"/>
      <c r="B274" s="89" t="n"/>
      <c r="C274" s="74" t="n"/>
      <c r="D274" s="74" t="n"/>
      <c r="E274" s="75" t="n"/>
    </row>
    <row r="275" ht="25" customHeight="1" s="18">
      <c r="A275" s="102" t="n"/>
      <c r="B275" s="66" t="n"/>
      <c r="C275" s="77" t="n"/>
      <c r="D275" s="77" t="n"/>
      <c r="E275" s="78" t="n"/>
    </row>
    <row r="276" ht="25" customHeight="1" s="18">
      <c r="A276" s="101" t="n"/>
      <c r="B276" s="89" t="n"/>
      <c r="C276" s="74" t="n"/>
      <c r="D276" s="74" t="n"/>
      <c r="E276" s="75" t="n"/>
    </row>
    <row r="277" ht="25" customHeight="1" s="18">
      <c r="A277" s="102" t="n"/>
      <c r="B277" s="66" t="n"/>
      <c r="C277" s="77" t="n"/>
      <c r="D277" s="77" t="n"/>
      <c r="E277" s="78" t="n"/>
    </row>
    <row r="278" ht="25" customHeight="1" s="18">
      <c r="A278" s="101" t="n"/>
      <c r="B278" s="89" t="n"/>
      <c r="C278" s="74" t="n"/>
      <c r="D278" s="74" t="n"/>
      <c r="E278" s="75" t="n"/>
    </row>
    <row r="279" ht="25" customHeight="1" s="18">
      <c r="A279" s="102" t="n"/>
      <c r="B279" s="66" t="n"/>
      <c r="C279" s="77" t="n"/>
      <c r="D279" s="77" t="n"/>
      <c r="E279" s="78" t="n"/>
    </row>
    <row r="280" ht="25" customHeight="1" s="18">
      <c r="A280" s="101" t="n"/>
      <c r="B280" s="89" t="n"/>
      <c r="C280" s="74" t="n"/>
      <c r="D280" s="74" t="n"/>
      <c r="E280" s="75" t="n"/>
    </row>
    <row r="281" ht="25" customHeight="1" s="18">
      <c r="A281" s="102" t="n"/>
      <c r="B281" s="66" t="n"/>
      <c r="C281" s="77" t="n"/>
      <c r="D281" s="77" t="n"/>
      <c r="E281" s="78" t="n"/>
    </row>
    <row r="282" ht="25" customHeight="1" s="18">
      <c r="A282" s="101" t="n"/>
      <c r="B282" s="89" t="n"/>
      <c r="C282" s="74" t="n"/>
      <c r="D282" s="74" t="n"/>
      <c r="E282" s="75" t="n"/>
    </row>
    <row r="283" ht="25" customHeight="1" s="18">
      <c r="A283" s="102" t="n"/>
      <c r="B283" s="66" t="n"/>
      <c r="C283" s="77" t="n"/>
      <c r="D283" s="77" t="n"/>
      <c r="E283" s="78" t="n"/>
    </row>
    <row r="284" ht="25" customHeight="1" s="18">
      <c r="A284" s="101" t="n"/>
      <c r="B284" s="89" t="n"/>
      <c r="C284" s="74" t="n"/>
      <c r="D284" s="74" t="n"/>
      <c r="E284" s="75" t="n"/>
    </row>
    <row r="285" ht="25" customHeight="1" s="18">
      <c r="A285" s="102" t="n"/>
      <c r="B285" s="66" t="n"/>
      <c r="C285" s="77" t="n"/>
      <c r="D285" s="77" t="n"/>
      <c r="E285" s="78" t="n"/>
    </row>
    <row r="286" ht="25" customHeight="1" s="18">
      <c r="A286" s="101" t="n"/>
      <c r="B286" s="89" t="n"/>
      <c r="C286" s="74" t="n"/>
      <c r="D286" s="74" t="n"/>
      <c r="E286" s="75" t="n"/>
    </row>
    <row r="287" ht="25" customHeight="1" s="18">
      <c r="A287" s="102" t="n"/>
      <c r="B287" s="66" t="n"/>
      <c r="C287" s="77" t="n"/>
      <c r="D287" s="77" t="n"/>
      <c r="E287" s="78" t="n"/>
    </row>
    <row r="288" ht="25" customHeight="1" s="18">
      <c r="A288" s="101" t="n"/>
      <c r="B288" s="89" t="n"/>
      <c r="C288" s="74" t="n"/>
      <c r="D288" s="74" t="n"/>
      <c r="E288" s="75" t="n"/>
    </row>
    <row r="289" ht="25" customHeight="1" s="18">
      <c r="A289" s="102" t="n"/>
      <c r="B289" s="66" t="n"/>
      <c r="C289" s="77" t="n"/>
      <c r="D289" s="77" t="n"/>
      <c r="E289" s="78" t="n"/>
    </row>
    <row r="290" ht="25" customHeight="1" s="18">
      <c r="A290" s="101" t="n"/>
      <c r="B290" s="89" t="n"/>
      <c r="C290" s="74" t="n"/>
      <c r="D290" s="74" t="n"/>
      <c r="E290" s="75" t="n"/>
    </row>
    <row r="291" ht="25" customHeight="1" s="18">
      <c r="A291" s="102" t="n"/>
      <c r="B291" s="66" t="n"/>
      <c r="C291" s="77" t="n"/>
      <c r="D291" s="77" t="n"/>
      <c r="E291" s="78" t="n"/>
    </row>
    <row r="292" ht="25" customHeight="1" s="18">
      <c r="A292" s="101" t="n"/>
      <c r="B292" s="89" t="n"/>
      <c r="C292" s="74" t="n"/>
      <c r="D292" s="74" t="n"/>
      <c r="E292" s="75" t="n"/>
    </row>
    <row r="293" ht="25" customHeight="1" s="18">
      <c r="A293" s="102" t="n"/>
      <c r="B293" s="66" t="n"/>
      <c r="C293" s="77" t="n"/>
      <c r="D293" s="77" t="n"/>
      <c r="E293" s="78" t="n"/>
    </row>
    <row r="294" ht="25" customHeight="1" s="18">
      <c r="A294" s="101" t="n"/>
      <c r="B294" s="89" t="n"/>
      <c r="C294" s="74" t="n"/>
      <c r="D294" s="74" t="n"/>
      <c r="E294" s="75" t="n"/>
    </row>
    <row r="295" ht="25" customHeight="1" s="18">
      <c r="A295" s="102" t="n"/>
      <c r="B295" s="66" t="n"/>
      <c r="C295" s="77" t="n"/>
      <c r="D295" s="77" t="n"/>
      <c r="E295" s="78" t="n"/>
    </row>
    <row r="296" ht="25" customHeight="1" s="18">
      <c r="A296" s="101" t="n"/>
      <c r="B296" s="89" t="n"/>
      <c r="C296" s="74" t="n"/>
      <c r="D296" s="74" t="n"/>
      <c r="E296" s="75" t="n"/>
    </row>
    <row r="297" ht="25" customHeight="1" s="18">
      <c r="A297" s="102" t="n"/>
      <c r="B297" s="66" t="n"/>
      <c r="C297" s="77" t="n"/>
      <c r="D297" s="77" t="n"/>
      <c r="E297" s="78" t="n"/>
    </row>
    <row r="298" ht="25" customHeight="1" s="18">
      <c r="A298" s="101" t="n"/>
      <c r="B298" s="89" t="n"/>
      <c r="C298" s="74" t="n"/>
      <c r="D298" s="74" t="n"/>
      <c r="E298" s="75" t="n"/>
    </row>
    <row r="299" ht="25" customHeight="1" s="18">
      <c r="A299" s="102" t="n"/>
      <c r="B299" s="66" t="n"/>
      <c r="C299" s="77" t="n"/>
      <c r="D299" s="77" t="n"/>
      <c r="E299" s="78" t="n"/>
    </row>
    <row r="300" ht="25" customHeight="1" s="18">
      <c r="A300" s="101" t="n"/>
      <c r="B300" s="89" t="n"/>
      <c r="C300" s="74" t="n"/>
      <c r="D300" s="74" t="n"/>
      <c r="E300" s="75" t="n"/>
    </row>
    <row r="301" ht="25" customHeight="1" s="18">
      <c r="A301" s="102" t="n"/>
      <c r="B301" s="66" t="n"/>
      <c r="C301" s="77" t="n"/>
      <c r="D301" s="77" t="n"/>
      <c r="E301" s="78" t="n"/>
    </row>
    <row r="302" ht="25" customHeight="1" s="18">
      <c r="A302" s="101" t="n"/>
      <c r="B302" s="89" t="n"/>
      <c r="C302" s="74" t="n"/>
      <c r="D302" s="74" t="n"/>
      <c r="E302" s="75" t="n"/>
    </row>
    <row r="303" ht="25" customHeight="1" s="18">
      <c r="A303" s="102" t="n"/>
      <c r="B303" s="66" t="n"/>
      <c r="C303" s="77" t="n"/>
      <c r="D303" s="77" t="n"/>
      <c r="E303" s="78" t="n"/>
    </row>
    <row r="304" ht="25" customHeight="1" s="18">
      <c r="A304" s="101" t="n"/>
      <c r="B304" s="89" t="n"/>
      <c r="C304" s="74" t="n"/>
      <c r="D304" s="74" t="n"/>
      <c r="E304" s="75" t="n"/>
    </row>
    <row r="305" ht="25" customHeight="1" s="18">
      <c r="A305" s="102" t="n"/>
      <c r="B305" s="66" t="n"/>
      <c r="C305" s="77" t="n"/>
      <c r="D305" s="77" t="n"/>
      <c r="E305" s="78" t="n"/>
    </row>
    <row r="306" ht="25" customHeight="1" s="18">
      <c r="A306" s="101" t="n"/>
      <c r="B306" s="89" t="n"/>
      <c r="C306" s="74" t="n"/>
      <c r="D306" s="74" t="n"/>
      <c r="E306" s="75" t="n"/>
    </row>
    <row r="307" ht="25" customHeight="1" s="18">
      <c r="A307" s="102" t="n"/>
      <c r="B307" s="66" t="n"/>
      <c r="C307" s="77" t="n"/>
      <c r="D307" s="77" t="n"/>
      <c r="E307" s="78" t="n"/>
    </row>
    <row r="308" ht="25" customHeight="1" s="18">
      <c r="A308" s="101" t="n"/>
      <c r="B308" s="89" t="n"/>
      <c r="C308" s="74" t="n"/>
      <c r="D308" s="74" t="n"/>
      <c r="E308" s="75" t="n"/>
    </row>
    <row r="309" ht="25" customHeight="1" s="18">
      <c r="A309" s="102" t="n"/>
      <c r="B309" s="66" t="n"/>
      <c r="C309" s="77" t="n"/>
      <c r="D309" s="77" t="n"/>
      <c r="E309" s="78" t="n"/>
    </row>
    <row r="310" ht="25" customHeight="1" s="18">
      <c r="A310" s="101" t="n"/>
      <c r="B310" s="89" t="n"/>
      <c r="C310" s="74" t="n"/>
      <c r="D310" s="74" t="n"/>
      <c r="E310" s="75" t="n"/>
    </row>
    <row r="311" ht="25" customHeight="1" s="18">
      <c r="A311" s="102" t="n"/>
      <c r="B311" s="66" t="n"/>
      <c r="C311" s="77" t="n"/>
      <c r="D311" s="77" t="n"/>
      <c r="E311" s="78" t="n"/>
    </row>
    <row r="312" ht="25" customHeight="1" s="18">
      <c r="A312" s="101" t="n"/>
      <c r="B312" s="89" t="n"/>
      <c r="C312" s="74" t="n"/>
      <c r="D312" s="74" t="n"/>
      <c r="E312" s="75" t="n"/>
    </row>
    <row r="313" ht="25" customHeight="1" s="18">
      <c r="A313" s="102" t="n"/>
      <c r="B313" s="66" t="n"/>
      <c r="C313" s="77" t="n"/>
      <c r="D313" s="77" t="n"/>
      <c r="E313" s="78" t="n"/>
    </row>
    <row r="314" ht="25" customHeight="1" s="18">
      <c r="A314" s="101" t="n"/>
      <c r="B314" s="89" t="n"/>
      <c r="C314" s="74" t="n"/>
      <c r="D314" s="74" t="n"/>
      <c r="E314" s="75" t="n"/>
    </row>
    <row r="315" ht="25" customHeight="1" s="18">
      <c r="A315" s="102" t="n"/>
      <c r="B315" s="66" t="n"/>
      <c r="C315" s="77" t="n"/>
      <c r="D315" s="77" t="n"/>
      <c r="E315" s="78" t="n"/>
    </row>
    <row r="316" ht="25" customHeight="1" s="18">
      <c r="A316" s="101" t="n"/>
      <c r="B316" s="89" t="n"/>
      <c r="C316" s="74" t="n"/>
      <c r="D316" s="74" t="n"/>
      <c r="E316" s="75" t="n"/>
    </row>
    <row r="317" ht="25" customHeight="1" s="18">
      <c r="A317" s="102" t="n"/>
      <c r="B317" s="66" t="n"/>
      <c r="C317" s="77" t="n"/>
      <c r="D317" s="77" t="n"/>
      <c r="E317" s="78" t="n"/>
    </row>
    <row r="318" ht="25" customHeight="1" s="18">
      <c r="A318" s="101" t="n"/>
      <c r="B318" s="89" t="n"/>
      <c r="C318" s="74" t="n"/>
      <c r="D318" s="74" t="n"/>
      <c r="E318" s="75" t="n"/>
    </row>
    <row r="319" ht="25" customHeight="1" s="18">
      <c r="A319" s="102" t="n"/>
      <c r="B319" s="66" t="n"/>
      <c r="C319" s="77" t="n"/>
      <c r="D319" s="77" t="n"/>
      <c r="E319" s="78" t="n"/>
    </row>
    <row r="320" ht="25" customHeight="1" s="18">
      <c r="A320" s="101" t="n"/>
      <c r="B320" s="89" t="n"/>
      <c r="C320" s="74" t="n"/>
      <c r="D320" s="74" t="n"/>
      <c r="E320" s="75" t="n"/>
    </row>
    <row r="321" ht="25" customHeight="1" s="18">
      <c r="A321" s="102" t="n"/>
      <c r="B321" s="66" t="n"/>
      <c r="C321" s="77" t="n"/>
      <c r="D321" s="77" t="n"/>
      <c r="E321" s="78" t="n"/>
    </row>
    <row r="322" ht="25" customHeight="1" s="18">
      <c r="A322" s="101" t="n"/>
      <c r="B322" s="89" t="n"/>
      <c r="C322" s="74" t="n"/>
      <c r="D322" s="74" t="n"/>
      <c r="E322" s="75" t="n"/>
    </row>
    <row r="323" ht="25" customHeight="1" s="18">
      <c r="A323" s="102" t="n"/>
      <c r="B323" s="66" t="n"/>
      <c r="C323" s="77" t="n"/>
      <c r="D323" s="77" t="n"/>
      <c r="E323" s="78" t="n"/>
    </row>
    <row r="324" ht="25" customHeight="1" s="18">
      <c r="A324" s="101" t="n"/>
      <c r="B324" s="89" t="n"/>
      <c r="C324" s="74" t="n"/>
      <c r="D324" s="74" t="n"/>
      <c r="E324" s="75" t="n"/>
    </row>
    <row r="325" ht="25" customHeight="1" s="18">
      <c r="A325" s="102" t="n"/>
      <c r="B325" s="66" t="n"/>
      <c r="C325" s="77" t="n"/>
      <c r="D325" s="77" t="n"/>
      <c r="E325" s="78" t="n"/>
    </row>
    <row r="326" ht="25" customHeight="1" s="18">
      <c r="A326" s="101" t="n"/>
      <c r="B326" s="89" t="n"/>
      <c r="C326" s="74" t="n"/>
      <c r="D326" s="74" t="n"/>
      <c r="E326" s="75" t="n"/>
    </row>
    <row r="327" ht="25" customHeight="1" s="18">
      <c r="A327" s="102" t="n"/>
      <c r="B327" s="66" t="n"/>
      <c r="C327" s="77" t="n"/>
      <c r="D327" s="77" t="n"/>
      <c r="E327" s="78" t="n"/>
    </row>
    <row r="328" ht="25" customHeight="1" s="18">
      <c r="A328" s="101" t="n"/>
      <c r="B328" s="89" t="n"/>
      <c r="C328" s="74" t="n"/>
      <c r="D328" s="74" t="n"/>
      <c r="E328" s="75" t="n"/>
    </row>
    <row r="329" ht="25" customHeight="1" s="18">
      <c r="A329" s="102" t="n"/>
      <c r="B329" s="66" t="n"/>
      <c r="C329" s="77" t="n"/>
      <c r="D329" s="77" t="n"/>
      <c r="E329" s="78" t="n"/>
    </row>
    <row r="330" ht="25" customHeight="1" s="18">
      <c r="A330" s="101" t="n"/>
      <c r="B330" s="89" t="n"/>
      <c r="C330" s="74" t="n"/>
      <c r="D330" s="74" t="n"/>
      <c r="E330" s="75" t="n"/>
    </row>
    <row r="331" ht="25" customHeight="1" s="18">
      <c r="A331" s="102" t="n"/>
      <c r="B331" s="66" t="n"/>
      <c r="C331" s="77" t="n"/>
      <c r="D331" s="77" t="n"/>
      <c r="E331" s="78" t="n"/>
    </row>
    <row r="332" ht="25" customHeight="1" s="18">
      <c r="A332" s="101" t="n"/>
      <c r="B332" s="89" t="n"/>
      <c r="C332" s="74" t="n"/>
      <c r="D332" s="74" t="n"/>
      <c r="E332" s="75" t="n"/>
    </row>
    <row r="333" ht="25" customHeight="1" s="18">
      <c r="A333" s="102" t="n"/>
      <c r="B333" s="66" t="n"/>
      <c r="C333" s="77" t="n"/>
      <c r="D333" s="77" t="n"/>
      <c r="E333" s="78" t="n"/>
    </row>
    <row r="334" ht="25" customHeight="1" s="18">
      <c r="A334" s="101" t="n"/>
      <c r="B334" s="89" t="n"/>
      <c r="C334" s="74" t="n"/>
      <c r="D334" s="74" t="n"/>
      <c r="E334" s="75" t="n"/>
    </row>
    <row r="335" ht="25" customHeight="1" s="18">
      <c r="A335" s="102" t="n"/>
      <c r="B335" s="66" t="n"/>
      <c r="C335" s="77" t="n"/>
      <c r="D335" s="77" t="n"/>
      <c r="E335" s="78" t="n"/>
    </row>
    <row r="336" ht="25" customHeight="1" s="18">
      <c r="A336" s="101" t="n"/>
      <c r="B336" s="89" t="n"/>
      <c r="C336" s="74" t="n"/>
      <c r="D336" s="74" t="n"/>
      <c r="E336" s="75" t="n"/>
    </row>
    <row r="337" ht="25" customHeight="1" s="18">
      <c r="A337" s="102" t="n"/>
      <c r="B337" s="66" t="n"/>
      <c r="C337" s="77" t="n"/>
      <c r="D337" s="77" t="n"/>
      <c r="E337" s="78" t="n"/>
    </row>
    <row r="338" ht="25" customHeight="1" s="18">
      <c r="A338" s="101" t="n"/>
      <c r="B338" s="89" t="n"/>
      <c r="C338" s="74" t="n"/>
      <c r="D338" s="74" t="n"/>
      <c r="E338" s="75" t="n"/>
    </row>
    <row r="339" ht="25" customHeight="1" s="18">
      <c r="A339" s="102" t="n"/>
      <c r="B339" s="66" t="n"/>
      <c r="C339" s="77" t="n"/>
      <c r="D339" s="77" t="n"/>
      <c r="E339" s="78" t="n"/>
    </row>
    <row r="340" ht="25" customHeight="1" s="18">
      <c r="A340" s="101" t="n"/>
      <c r="B340" s="89" t="n"/>
      <c r="C340" s="74" t="n"/>
      <c r="D340" s="74" t="n"/>
      <c r="E340" s="75" t="n"/>
    </row>
    <row r="341" ht="25" customHeight="1" s="18">
      <c r="A341" s="102" t="n"/>
      <c r="B341" s="66" t="n"/>
      <c r="C341" s="77" t="n"/>
      <c r="D341" s="77" t="n"/>
      <c r="E341" s="78" t="n"/>
    </row>
    <row r="342" ht="25" customHeight="1" s="18">
      <c r="A342" s="101" t="n"/>
      <c r="B342" s="89" t="n"/>
      <c r="C342" s="74" t="n"/>
      <c r="D342" s="74" t="n"/>
      <c r="E342" s="75" t="n"/>
    </row>
    <row r="343" ht="25" customHeight="1" s="18">
      <c r="A343" s="102" t="n"/>
      <c r="B343" s="66" t="n"/>
      <c r="C343" s="77" t="n"/>
      <c r="D343" s="77" t="n"/>
      <c r="E343" s="78" t="n"/>
    </row>
    <row r="344" ht="25" customHeight="1" s="18">
      <c r="A344" s="101" t="n"/>
      <c r="B344" s="89" t="n"/>
      <c r="C344" s="74" t="n"/>
      <c r="D344" s="74" t="n"/>
      <c r="E344" s="75" t="n"/>
    </row>
    <row r="345" ht="25" customHeight="1" s="18">
      <c r="A345" s="102" t="n"/>
      <c r="B345" s="66" t="n"/>
      <c r="C345" s="77" t="n"/>
      <c r="D345" s="77" t="n"/>
      <c r="E345" s="78" t="n"/>
    </row>
    <row r="346" ht="25" customHeight="1" s="18">
      <c r="A346" s="101" t="n"/>
      <c r="B346" s="89" t="n"/>
      <c r="C346" s="74" t="n"/>
      <c r="D346" s="74" t="n"/>
      <c r="E346" s="75" t="n"/>
    </row>
    <row r="347" ht="25" customHeight="1" s="18">
      <c r="A347" s="102" t="n"/>
      <c r="B347" s="66" t="n"/>
      <c r="C347" s="77" t="n"/>
      <c r="D347" s="77" t="n"/>
      <c r="E347" s="78" t="n"/>
    </row>
    <row r="348" ht="25" customHeight="1" s="18">
      <c r="A348" s="101" t="n"/>
      <c r="B348" s="89" t="n"/>
      <c r="C348" s="74" t="n"/>
      <c r="D348" s="74" t="n"/>
      <c r="E348" s="75" t="n"/>
    </row>
    <row r="349" ht="25" customHeight="1" s="18">
      <c r="A349" s="102" t="n"/>
      <c r="B349" s="66" t="n"/>
      <c r="C349" s="77" t="n"/>
      <c r="D349" s="77" t="n"/>
      <c r="E349" s="78" t="n"/>
    </row>
    <row r="350" ht="25" customHeight="1" s="18">
      <c r="A350" s="101" t="n"/>
      <c r="B350" s="89" t="n"/>
      <c r="C350" s="74" t="n"/>
      <c r="D350" s="74" t="n"/>
      <c r="E350" s="75" t="n"/>
    </row>
    <row r="351" ht="25" customHeight="1" s="18">
      <c r="A351" s="102" t="n"/>
      <c r="B351" s="66" t="n"/>
      <c r="C351" s="77" t="n"/>
      <c r="D351" s="77" t="n"/>
      <c r="E351" s="78" t="n"/>
    </row>
    <row r="352" ht="25" customHeight="1" s="18">
      <c r="A352" s="101" t="n"/>
      <c r="B352" s="89" t="n"/>
      <c r="C352" s="74" t="n"/>
      <c r="D352" s="74" t="n"/>
      <c r="E352" s="75" t="n"/>
    </row>
    <row r="353" ht="25" customHeight="1" s="18">
      <c r="A353" s="102" t="n"/>
      <c r="B353" s="66" t="n"/>
      <c r="C353" s="77" t="n"/>
      <c r="D353" s="77" t="n"/>
      <c r="E353" s="78" t="n"/>
    </row>
    <row r="354" ht="25" customHeight="1" s="18">
      <c r="A354" s="101" t="n"/>
      <c r="B354" s="89" t="n"/>
      <c r="C354" s="74" t="n"/>
      <c r="D354" s="74" t="n"/>
      <c r="E354" s="75" t="n"/>
    </row>
    <row r="355" ht="25" customHeight="1" s="18">
      <c r="A355" s="102" t="n"/>
      <c r="B355" s="66" t="n"/>
      <c r="C355" s="77" t="n"/>
      <c r="D355" s="77" t="n"/>
      <c r="E355" s="78" t="n"/>
    </row>
    <row r="356" ht="25" customHeight="1" s="18">
      <c r="A356" s="101" t="n"/>
      <c r="B356" s="89" t="n"/>
      <c r="C356" s="74" t="n"/>
      <c r="D356" s="74" t="n"/>
      <c r="E356" s="75" t="n"/>
    </row>
    <row r="357" ht="25" customHeight="1" s="18">
      <c r="A357" s="102" t="n"/>
      <c r="B357" s="66" t="n"/>
      <c r="C357" s="77" t="n"/>
      <c r="D357" s="77" t="n"/>
      <c r="E357" s="78" t="n"/>
    </row>
    <row r="358" ht="25" customHeight="1" s="18">
      <c r="A358" s="101" t="n"/>
      <c r="B358" s="89" t="n"/>
      <c r="C358" s="74" t="n"/>
      <c r="D358" s="74" t="n"/>
      <c r="E358" s="75" t="n"/>
    </row>
    <row r="359" ht="25" customHeight="1" s="18">
      <c r="A359" s="102" t="n"/>
      <c r="B359" s="66" t="n"/>
      <c r="C359" s="77" t="n"/>
      <c r="D359" s="77" t="n"/>
      <c r="E359" s="78" t="n"/>
    </row>
    <row r="360" ht="25" customHeight="1" s="18">
      <c r="A360" s="101" t="n"/>
      <c r="B360" s="89" t="n"/>
      <c r="C360" s="74" t="n"/>
      <c r="D360" s="74" t="n"/>
      <c r="E360" s="75" t="n"/>
    </row>
    <row r="361" ht="25" customHeight="1" s="18">
      <c r="A361" s="102" t="n"/>
      <c r="B361" s="66" t="n"/>
      <c r="C361" s="77" t="n"/>
      <c r="D361" s="77" t="n"/>
      <c r="E361" s="78" t="n"/>
    </row>
    <row r="362" ht="25" customHeight="1" s="18">
      <c r="A362" s="101" t="n"/>
      <c r="B362" s="89" t="n"/>
      <c r="C362" s="74" t="n"/>
      <c r="D362" s="74" t="n"/>
      <c r="E362" s="75" t="n"/>
    </row>
    <row r="363" ht="25" customHeight="1" s="18">
      <c r="A363" s="102" t="n"/>
      <c r="B363" s="66" t="n"/>
      <c r="C363" s="77" t="n"/>
      <c r="D363" s="77" t="n"/>
      <c r="E363" s="78" t="n"/>
    </row>
    <row r="364" ht="25" customHeight="1" s="18">
      <c r="A364" s="101" t="n"/>
      <c r="B364" s="89" t="n"/>
      <c r="C364" s="74" t="n"/>
      <c r="D364" s="74" t="n"/>
      <c r="E364" s="75" t="n"/>
    </row>
    <row r="365" ht="25" customHeight="1" s="18">
      <c r="A365" s="102" t="n"/>
      <c r="B365" s="66" t="n"/>
      <c r="C365" s="77" t="n"/>
      <c r="D365" s="77" t="n"/>
      <c r="E365" s="78" t="n"/>
    </row>
    <row r="366" ht="25" customHeight="1" s="18">
      <c r="A366" s="101" t="n"/>
      <c r="B366" s="89" t="n"/>
      <c r="C366" s="74" t="n"/>
      <c r="D366" s="74" t="n"/>
      <c r="E366" s="75" t="n"/>
    </row>
    <row r="367" ht="25" customHeight="1" s="18">
      <c r="A367" s="102" t="n"/>
      <c r="B367" s="66" t="n"/>
      <c r="C367" s="77" t="n"/>
      <c r="D367" s="77" t="n"/>
      <c r="E367" s="78" t="n"/>
    </row>
    <row r="368" ht="25" customHeight="1" s="18">
      <c r="A368" s="101" t="n"/>
      <c r="B368" s="89" t="n"/>
      <c r="C368" s="74" t="n"/>
      <c r="D368" s="74" t="n"/>
      <c r="E368" s="75" t="n"/>
    </row>
    <row r="369" ht="25" customHeight="1" s="18">
      <c r="A369" s="102" t="n"/>
      <c r="B369" s="66" t="n"/>
      <c r="C369" s="77" t="n"/>
      <c r="D369" s="77" t="n"/>
      <c r="E369" s="78" t="n"/>
    </row>
    <row r="370" ht="25" customHeight="1" s="18">
      <c r="A370" s="101" t="n"/>
      <c r="B370" s="89" t="n"/>
      <c r="C370" s="74" t="n"/>
      <c r="D370" s="74" t="n"/>
      <c r="E370" s="75" t="n"/>
    </row>
    <row r="371" ht="25" customHeight="1" s="18">
      <c r="A371" s="102" t="n"/>
      <c r="B371" s="66" t="n"/>
      <c r="C371" s="77" t="n"/>
      <c r="D371" s="77" t="n"/>
      <c r="E371" s="78" t="n"/>
    </row>
    <row r="372" ht="25" customHeight="1" s="18">
      <c r="A372" s="101" t="n"/>
      <c r="B372" s="89" t="n"/>
      <c r="C372" s="74" t="n"/>
      <c r="D372" s="74" t="n"/>
      <c r="E372" s="75" t="n"/>
    </row>
    <row r="373" ht="25" customHeight="1" s="18">
      <c r="A373" s="102" t="n"/>
      <c r="B373" s="66" t="n"/>
      <c r="C373" s="77" t="n"/>
      <c r="D373" s="77" t="n"/>
      <c r="E373" s="78" t="n"/>
    </row>
    <row r="374" ht="25" customHeight="1" s="18">
      <c r="A374" s="101" t="n"/>
      <c r="B374" s="89" t="n"/>
      <c r="C374" s="74" t="n"/>
      <c r="D374" s="74" t="n"/>
      <c r="E374" s="75" t="n"/>
    </row>
    <row r="375" ht="25" customHeight="1" s="18">
      <c r="A375" s="102" t="n"/>
      <c r="B375" s="66" t="n"/>
      <c r="C375" s="77" t="n"/>
      <c r="D375" s="77" t="n"/>
      <c r="E375" s="78" t="n"/>
    </row>
    <row r="376" ht="25" customHeight="1" s="18">
      <c r="A376" s="101" t="n"/>
      <c r="B376" s="89" t="n"/>
      <c r="C376" s="74" t="n"/>
      <c r="D376" s="74" t="n"/>
      <c r="E376" s="75" t="n"/>
    </row>
    <row r="377" ht="25" customHeight="1" s="18">
      <c r="A377" s="102" t="n"/>
      <c r="B377" s="66" t="n"/>
      <c r="C377" s="77" t="n"/>
      <c r="D377" s="77" t="n"/>
      <c r="E377" s="78" t="n"/>
    </row>
    <row r="378" ht="25" customHeight="1" s="18">
      <c r="A378" s="101" t="n"/>
      <c r="B378" s="89" t="n"/>
      <c r="C378" s="74" t="n"/>
      <c r="D378" s="74" t="n"/>
      <c r="E378" s="75" t="n"/>
    </row>
    <row r="379" ht="25" customHeight="1" s="18">
      <c r="A379" s="102" t="n"/>
      <c r="B379" s="66" t="n"/>
      <c r="C379" s="77" t="n"/>
      <c r="D379" s="77" t="n"/>
      <c r="E379" s="78" t="n"/>
    </row>
    <row r="380" ht="25" customHeight="1" s="18">
      <c r="A380" s="101" t="n"/>
      <c r="B380" s="89" t="n"/>
      <c r="C380" s="74" t="n"/>
      <c r="D380" s="74" t="n"/>
      <c r="E380" s="75" t="n"/>
    </row>
    <row r="381" ht="25" customHeight="1" s="18">
      <c r="A381" s="102" t="n"/>
      <c r="B381" s="66" t="n"/>
      <c r="C381" s="77" t="n"/>
      <c r="D381" s="77" t="n"/>
      <c r="E381" s="78" t="n"/>
    </row>
    <row r="382" ht="25" customHeight="1" s="18">
      <c r="A382" s="101" t="n"/>
      <c r="B382" s="89" t="n"/>
      <c r="C382" s="74" t="n"/>
      <c r="D382" s="74" t="n"/>
      <c r="E382" s="75" t="n"/>
    </row>
    <row r="383" ht="25" customHeight="1" s="18">
      <c r="A383" s="102" t="n"/>
      <c r="B383" s="66" t="n"/>
      <c r="C383" s="77" t="n"/>
      <c r="D383" s="77" t="n"/>
      <c r="E383" s="78" t="n"/>
    </row>
    <row r="384" ht="25" customHeight="1" s="18">
      <c r="A384" s="101" t="n"/>
      <c r="B384" s="89" t="n"/>
      <c r="C384" s="74" t="n"/>
      <c r="D384" s="74" t="n"/>
      <c r="E384" s="75" t="n"/>
    </row>
    <row r="385" ht="25" customHeight="1" s="18">
      <c r="A385" s="102" t="n"/>
      <c r="B385" s="66" t="n"/>
      <c r="C385" s="77" t="n"/>
      <c r="D385" s="77" t="n"/>
      <c r="E385" s="78" t="n"/>
    </row>
    <row r="386" ht="25" customHeight="1" s="18">
      <c r="A386" s="101" t="n"/>
      <c r="B386" s="89" t="n"/>
      <c r="C386" s="74" t="n"/>
      <c r="D386" s="74" t="n"/>
      <c r="E386" s="75" t="n"/>
    </row>
    <row r="387" ht="25" customHeight="1" s="18">
      <c r="A387" s="102" t="n"/>
      <c r="B387" s="66" t="n"/>
      <c r="C387" s="77" t="n"/>
      <c r="D387" s="77" t="n"/>
      <c r="E387" s="78" t="n"/>
    </row>
    <row r="388" ht="25" customHeight="1" s="18">
      <c r="A388" s="101" t="n"/>
      <c r="B388" s="89" t="n"/>
      <c r="C388" s="74" t="n"/>
      <c r="D388" s="74" t="n"/>
      <c r="E388" s="75" t="n"/>
    </row>
    <row r="389" ht="25" customHeight="1" s="18">
      <c r="A389" s="102" t="n"/>
      <c r="B389" s="66" t="n"/>
      <c r="C389" s="77" t="n"/>
      <c r="D389" s="77" t="n"/>
      <c r="E389" s="78" t="n"/>
    </row>
    <row r="390" ht="25" customHeight="1" s="18">
      <c r="A390" s="101" t="n"/>
      <c r="B390" s="89" t="n"/>
      <c r="C390" s="74" t="n"/>
      <c r="D390" s="74" t="n"/>
      <c r="E390" s="75" t="n"/>
    </row>
    <row r="391" ht="25" customHeight="1" s="18">
      <c r="A391" s="102" t="n"/>
      <c r="B391" s="66" t="n"/>
      <c r="C391" s="77" t="n"/>
      <c r="D391" s="77" t="n"/>
      <c r="E391" s="78" t="n"/>
    </row>
    <row r="392" ht="25" customHeight="1" s="18">
      <c r="A392" s="101" t="n"/>
      <c r="B392" s="89" t="n"/>
      <c r="C392" s="74" t="n"/>
      <c r="D392" s="74" t="n"/>
      <c r="E392" s="75" t="n"/>
    </row>
    <row r="393" ht="25" customHeight="1" s="18">
      <c r="A393" s="102" t="n"/>
      <c r="B393" s="66" t="n"/>
      <c r="C393" s="77" t="n"/>
      <c r="D393" s="77" t="n"/>
      <c r="E393" s="78" t="n"/>
    </row>
    <row r="394" ht="25" customHeight="1" s="18">
      <c r="A394" s="101" t="n"/>
      <c r="B394" s="89" t="n"/>
      <c r="C394" s="74" t="n"/>
      <c r="D394" s="74" t="n"/>
      <c r="E394" s="75" t="n"/>
    </row>
    <row r="395" ht="25" customHeight="1" s="18">
      <c r="A395" s="102" t="n"/>
      <c r="B395" s="66" t="n"/>
      <c r="C395" s="77" t="n"/>
      <c r="D395" s="77" t="n"/>
      <c r="E395" s="78" t="n"/>
    </row>
    <row r="396" ht="25" customHeight="1" s="18">
      <c r="A396" s="101" t="n"/>
      <c r="B396" s="89" t="n"/>
      <c r="C396" s="74" t="n"/>
      <c r="D396" s="74" t="n"/>
      <c r="E396" s="75" t="n"/>
    </row>
    <row r="397" ht="25" customHeight="1" s="18">
      <c r="A397" s="102" t="n"/>
      <c r="B397" s="66" t="n"/>
      <c r="C397" s="77" t="n"/>
      <c r="D397" s="77" t="n"/>
      <c r="E397" s="78" t="n"/>
    </row>
    <row r="398" ht="25" customHeight="1" s="18">
      <c r="A398" s="101" t="n"/>
      <c r="B398" s="89" t="n"/>
      <c r="C398" s="74" t="n"/>
      <c r="D398" s="74" t="n"/>
      <c r="E398" s="75" t="n"/>
    </row>
    <row r="399" ht="25" customHeight="1" s="18">
      <c r="A399" s="102" t="n"/>
      <c r="B399" s="66" t="n"/>
      <c r="C399" s="77" t="n"/>
      <c r="D399" s="77" t="n"/>
      <c r="E399" s="78" t="n"/>
    </row>
    <row r="400" ht="25" customHeight="1" s="18">
      <c r="A400" s="101" t="n"/>
      <c r="B400" s="89" t="n"/>
      <c r="C400" s="74" t="n"/>
      <c r="D400" s="74" t="n"/>
      <c r="E400" s="75" t="n"/>
    </row>
    <row r="401" ht="25" customHeight="1" s="18">
      <c r="A401" s="102" t="n"/>
      <c r="B401" s="66" t="n"/>
      <c r="C401" s="77" t="n"/>
      <c r="D401" s="77" t="n"/>
      <c r="E401" s="78" t="n"/>
    </row>
    <row r="402" ht="25" customHeight="1" s="18">
      <c r="A402" s="101" t="n"/>
      <c r="B402" s="89" t="n"/>
      <c r="C402" s="74" t="n"/>
      <c r="D402" s="74" t="n"/>
      <c r="E402" s="75" t="n"/>
    </row>
    <row r="403" ht="25" customHeight="1" s="18">
      <c r="A403" s="102" t="n"/>
      <c r="B403" s="66" t="n"/>
      <c r="C403" s="77" t="n"/>
      <c r="D403" s="77" t="n"/>
      <c r="E403" s="78" t="n"/>
    </row>
    <row r="404" ht="25" customHeight="1" s="18">
      <c r="A404" s="101" t="n"/>
      <c r="B404" s="89" t="n"/>
      <c r="C404" s="74" t="n"/>
      <c r="D404" s="74" t="n"/>
      <c r="E404" s="75" t="n"/>
    </row>
    <row r="405" ht="25" customHeight="1" s="18">
      <c r="A405" s="102" t="n"/>
      <c r="B405" s="66" t="n"/>
      <c r="C405" s="77" t="n"/>
      <c r="D405" s="77" t="n"/>
      <c r="E405" s="78" t="n"/>
    </row>
    <row r="406" ht="25" customHeight="1" s="18">
      <c r="A406" s="101" t="n"/>
      <c r="B406" s="89" t="n"/>
      <c r="C406" s="74" t="n"/>
      <c r="D406" s="74" t="n"/>
      <c r="E406" s="75" t="n"/>
    </row>
    <row r="407" ht="25" customHeight="1" s="18">
      <c r="A407" s="102" t="n"/>
      <c r="B407" s="66" t="n"/>
      <c r="C407" s="77" t="n"/>
      <c r="D407" s="77" t="n"/>
      <c r="E407" s="78" t="n"/>
    </row>
    <row r="408" ht="25" customHeight="1" s="18">
      <c r="A408" s="101" t="n"/>
      <c r="B408" s="89" t="n"/>
      <c r="C408" s="74" t="n"/>
      <c r="D408" s="74" t="n"/>
      <c r="E408" s="75" t="n"/>
    </row>
    <row r="409" ht="25" customHeight="1" s="18">
      <c r="A409" s="102" t="n"/>
      <c r="B409" s="66" t="n"/>
      <c r="C409" s="77" t="n"/>
      <c r="D409" s="77" t="n"/>
      <c r="E409" s="78" t="n"/>
    </row>
    <row r="410" ht="25" customHeight="1" s="18">
      <c r="A410" s="101" t="n"/>
      <c r="B410" s="89" t="n"/>
      <c r="C410" s="74" t="n"/>
      <c r="D410" s="74" t="n"/>
      <c r="E410" s="75" t="n"/>
    </row>
    <row r="411" ht="25" customHeight="1" s="18">
      <c r="A411" s="102" t="n"/>
      <c r="B411" s="66" t="n"/>
      <c r="C411" s="77" t="n"/>
      <c r="D411" s="77" t="n"/>
      <c r="E411" s="78" t="n"/>
    </row>
    <row r="412" ht="25" customHeight="1" s="18">
      <c r="A412" s="101" t="n"/>
      <c r="B412" s="89" t="n"/>
      <c r="C412" s="74" t="n"/>
      <c r="D412" s="74" t="n"/>
      <c r="E412" s="75" t="n"/>
    </row>
    <row r="413" ht="25" customHeight="1" s="18">
      <c r="A413" s="102" t="n"/>
      <c r="B413" s="66" t="n"/>
      <c r="C413" s="77" t="n"/>
      <c r="D413" s="77" t="n"/>
      <c r="E413" s="78" t="n"/>
    </row>
    <row r="414" ht="25" customHeight="1" s="18">
      <c r="A414" s="101" t="n"/>
      <c r="B414" s="89" t="n"/>
      <c r="C414" s="74" t="n"/>
      <c r="D414" s="74" t="n"/>
      <c r="E414" s="75" t="n"/>
    </row>
    <row r="415" ht="25" customHeight="1" s="18">
      <c r="A415" s="102" t="n"/>
      <c r="B415" s="66" t="n"/>
      <c r="C415" s="77" t="n"/>
      <c r="D415" s="77" t="n"/>
      <c r="E415" s="78" t="n"/>
    </row>
    <row r="416" ht="25" customHeight="1" s="18">
      <c r="A416" s="101" t="n"/>
      <c r="B416" s="89" t="n"/>
      <c r="C416" s="74" t="n"/>
      <c r="D416" s="74" t="n"/>
      <c r="E416" s="75" t="n"/>
    </row>
    <row r="417" ht="25" customHeight="1" s="18">
      <c r="A417" s="102" t="n"/>
      <c r="B417" s="66" t="n"/>
      <c r="C417" s="77" t="n"/>
      <c r="D417" s="77" t="n"/>
      <c r="E417" s="78" t="n"/>
    </row>
    <row r="418" ht="25" customHeight="1" s="18">
      <c r="A418" s="101" t="n"/>
      <c r="B418" s="89" t="n"/>
      <c r="C418" s="74" t="n"/>
      <c r="D418" s="74" t="n"/>
      <c r="E418" s="75" t="n"/>
    </row>
    <row r="419" ht="25" customHeight="1" s="18">
      <c r="A419" s="102" t="n"/>
      <c r="B419" s="66" t="n"/>
      <c r="C419" s="77" t="n"/>
      <c r="D419" s="77" t="n"/>
      <c r="E419" s="78" t="n"/>
    </row>
    <row r="420" ht="25" customHeight="1" s="18">
      <c r="A420" s="101" t="n"/>
      <c r="B420" s="89" t="n"/>
      <c r="C420" s="74" t="n"/>
      <c r="D420" s="74" t="n"/>
      <c r="E420" s="75" t="n"/>
    </row>
    <row r="421" ht="25" customHeight="1" s="18">
      <c r="A421" s="102" t="n"/>
      <c r="B421" s="66" t="n"/>
      <c r="C421" s="77" t="n"/>
      <c r="D421" s="77" t="n"/>
      <c r="E421" s="78" t="n"/>
    </row>
    <row r="422" ht="25" customHeight="1" s="18">
      <c r="A422" s="101" t="n"/>
      <c r="B422" s="89" t="n"/>
      <c r="C422" s="74" t="n"/>
      <c r="D422" s="74" t="n"/>
      <c r="E422" s="75" t="n"/>
    </row>
    <row r="423" ht="25" customHeight="1" s="18">
      <c r="A423" s="102" t="n"/>
      <c r="B423" s="66" t="n"/>
      <c r="C423" s="77" t="n"/>
      <c r="D423" s="77" t="n"/>
      <c r="E423" s="78" t="n"/>
    </row>
    <row r="424" ht="25" customHeight="1" s="18">
      <c r="A424" s="101" t="n"/>
      <c r="B424" s="89" t="n"/>
      <c r="C424" s="74" t="n"/>
      <c r="D424" s="74" t="n"/>
      <c r="E424" s="75" t="n"/>
    </row>
    <row r="425" ht="25" customHeight="1" s="18">
      <c r="A425" s="102" t="n"/>
      <c r="B425" s="66" t="n"/>
      <c r="C425" s="77" t="n"/>
      <c r="D425" s="77" t="n"/>
      <c r="E425" s="78" t="n"/>
    </row>
    <row r="426" ht="25" customHeight="1" s="18">
      <c r="A426" s="101" t="n"/>
      <c r="B426" s="89" t="n"/>
      <c r="C426" s="74" t="n"/>
      <c r="D426" s="74" t="n"/>
      <c r="E426" s="75" t="n"/>
    </row>
    <row r="427" ht="25" customHeight="1" s="18">
      <c r="A427" s="102" t="n"/>
      <c r="B427" s="66" t="n"/>
      <c r="C427" s="77" t="n"/>
      <c r="D427" s="77" t="n"/>
      <c r="E427" s="78" t="n"/>
    </row>
    <row r="428" ht="25" customHeight="1" s="18">
      <c r="A428" s="101" t="n"/>
      <c r="B428" s="89" t="n"/>
      <c r="C428" s="74" t="n"/>
      <c r="D428" s="74" t="n"/>
      <c r="E428" s="75" t="n"/>
    </row>
    <row r="429" ht="25" customHeight="1" s="18">
      <c r="A429" s="102" t="n"/>
      <c r="B429" s="66" t="n"/>
      <c r="C429" s="77" t="n"/>
      <c r="D429" s="77" t="n"/>
      <c r="E429" s="78" t="n"/>
    </row>
    <row r="430" ht="25" customHeight="1" s="18">
      <c r="A430" s="101" t="n"/>
      <c r="B430" s="89" t="n"/>
      <c r="C430" s="74" t="n"/>
      <c r="D430" s="74" t="n"/>
      <c r="E430" s="75" t="n"/>
    </row>
    <row r="431" ht="25" customHeight="1" s="18">
      <c r="A431" s="102" t="n"/>
      <c r="B431" s="66" t="n"/>
      <c r="C431" s="77" t="n"/>
      <c r="D431" s="77" t="n"/>
      <c r="E431" s="78" t="n"/>
    </row>
    <row r="432" ht="25" customHeight="1" s="18">
      <c r="A432" s="101" t="n"/>
      <c r="B432" s="89" t="n"/>
      <c r="C432" s="74" t="n"/>
      <c r="D432" s="74" t="n"/>
      <c r="E432" s="75" t="n"/>
    </row>
    <row r="433" ht="25" customHeight="1" s="18">
      <c r="A433" s="102" t="n"/>
      <c r="B433" s="66" t="n"/>
      <c r="C433" s="77" t="n"/>
      <c r="D433" s="77" t="n"/>
      <c r="E433" s="78" t="n"/>
    </row>
    <row r="434" ht="25" customHeight="1" s="18">
      <c r="A434" s="101" t="n"/>
      <c r="B434" s="89" t="n"/>
      <c r="C434" s="74" t="n"/>
      <c r="D434" s="74" t="n"/>
      <c r="E434" s="75" t="n"/>
    </row>
    <row r="435" ht="25" customHeight="1" s="18">
      <c r="A435" s="102" t="n"/>
      <c r="B435" s="66" t="n"/>
      <c r="C435" s="77" t="n"/>
      <c r="D435" s="77" t="n"/>
      <c r="E435" s="78" t="n"/>
    </row>
    <row r="436" ht="25" customHeight="1" s="18">
      <c r="A436" s="101" t="n"/>
      <c r="B436" s="89" t="n"/>
      <c r="C436" s="74" t="n"/>
      <c r="D436" s="74" t="n"/>
      <c r="E436" s="75" t="n"/>
    </row>
    <row r="437" ht="25" customHeight="1" s="18">
      <c r="A437" s="102" t="n"/>
      <c r="B437" s="66" t="n"/>
      <c r="C437" s="77" t="n"/>
      <c r="D437" s="77" t="n"/>
      <c r="E437" s="78" t="n"/>
    </row>
    <row r="438" ht="25" customHeight="1" s="18">
      <c r="A438" s="101" t="n"/>
      <c r="B438" s="89" t="n"/>
      <c r="C438" s="74" t="n"/>
      <c r="D438" s="74" t="n"/>
      <c r="E438" s="75" t="n"/>
    </row>
    <row r="439" ht="25" customHeight="1" s="18">
      <c r="A439" s="102" t="n"/>
      <c r="B439" s="66" t="n"/>
      <c r="C439" s="77" t="n"/>
      <c r="D439" s="77" t="n"/>
      <c r="E439" s="78" t="n"/>
    </row>
    <row r="440" ht="25" customHeight="1" s="18">
      <c r="A440" s="101" t="n"/>
      <c r="B440" s="89" t="n"/>
      <c r="C440" s="74" t="n"/>
      <c r="D440" s="74" t="n"/>
      <c r="E440" s="75" t="n"/>
    </row>
    <row r="441" ht="25" customHeight="1" s="18">
      <c r="A441" s="102" t="n"/>
      <c r="B441" s="66" t="n"/>
      <c r="C441" s="77" t="n"/>
      <c r="D441" s="77" t="n"/>
      <c r="E441" s="78" t="n"/>
    </row>
    <row r="442" ht="25" customHeight="1" s="18">
      <c r="A442" s="101" t="n"/>
      <c r="B442" s="89" t="n"/>
      <c r="C442" s="74" t="n"/>
      <c r="D442" s="74" t="n"/>
      <c r="E442" s="75" t="n"/>
    </row>
    <row r="443" ht="25" customHeight="1" s="18">
      <c r="A443" s="102" t="n"/>
      <c r="B443" s="66" t="n"/>
      <c r="C443" s="77" t="n"/>
      <c r="D443" s="77" t="n"/>
      <c r="E443" s="78" t="n"/>
    </row>
    <row r="444" ht="25" customHeight="1" s="18">
      <c r="A444" s="101" t="n"/>
      <c r="B444" s="89" t="n"/>
      <c r="C444" s="74" t="n"/>
      <c r="D444" s="74" t="n"/>
      <c r="E444" s="75" t="n"/>
    </row>
    <row r="445" ht="25" customHeight="1" s="18">
      <c r="A445" s="102" t="n"/>
      <c r="B445" s="66" t="n"/>
      <c r="C445" s="77" t="n"/>
      <c r="D445" s="77" t="n"/>
      <c r="E445" s="78" t="n"/>
    </row>
    <row r="446" ht="25" customHeight="1" s="18">
      <c r="A446" s="101" t="n"/>
      <c r="B446" s="89" t="n"/>
      <c r="C446" s="74" t="n"/>
      <c r="D446" s="74" t="n"/>
      <c r="E446" s="75" t="n"/>
    </row>
    <row r="447" ht="25" customHeight="1" s="18">
      <c r="A447" s="102" t="n"/>
      <c r="B447" s="66" t="n"/>
      <c r="C447" s="77" t="n"/>
      <c r="D447" s="77" t="n"/>
      <c r="E447" s="78" t="n"/>
    </row>
    <row r="448" ht="25" customHeight="1" s="18">
      <c r="A448" s="101" t="n"/>
      <c r="B448" s="89" t="n"/>
      <c r="C448" s="74" t="n"/>
      <c r="D448" s="74" t="n"/>
      <c r="E448" s="75" t="n"/>
    </row>
    <row r="449" ht="25" customHeight="1" s="18">
      <c r="A449" s="102" t="n"/>
      <c r="B449" s="66" t="n"/>
      <c r="C449" s="77" t="n"/>
      <c r="D449" s="77" t="n"/>
      <c r="E449" s="78" t="n"/>
    </row>
    <row r="450" ht="25" customHeight="1" s="18">
      <c r="A450" s="101" t="n"/>
      <c r="B450" s="89" t="n"/>
      <c r="C450" s="74" t="n"/>
      <c r="D450" s="74" t="n"/>
      <c r="E450" s="75" t="n"/>
    </row>
    <row r="451" ht="25" customHeight="1" s="18">
      <c r="A451" s="102" t="n"/>
      <c r="B451" s="66" t="n"/>
      <c r="C451" s="77" t="n"/>
      <c r="D451" s="77" t="n"/>
      <c r="E451" s="78" t="n"/>
    </row>
    <row r="452" ht="25" customHeight="1" s="18">
      <c r="A452" s="101" t="n"/>
      <c r="B452" s="89" t="n"/>
      <c r="C452" s="74" t="n"/>
      <c r="D452" s="74" t="n"/>
      <c r="E452" s="75" t="n"/>
    </row>
    <row r="453" ht="25" customHeight="1" s="18">
      <c r="A453" s="102" t="n"/>
      <c r="B453" s="66" t="n"/>
      <c r="C453" s="77" t="n"/>
      <c r="D453" s="77" t="n"/>
      <c r="E453" s="78" t="n"/>
    </row>
    <row r="454" ht="25" customHeight="1" s="18">
      <c r="A454" s="101" t="n"/>
      <c r="B454" s="89" t="n"/>
      <c r="C454" s="74" t="n"/>
      <c r="D454" s="74" t="n"/>
      <c r="E454" s="75" t="n"/>
    </row>
    <row r="455" ht="25" customHeight="1" s="18">
      <c r="A455" s="102" t="n"/>
      <c r="B455" s="66" t="n"/>
      <c r="C455" s="77" t="n"/>
      <c r="D455" s="77" t="n"/>
      <c r="E455" s="78" t="n"/>
    </row>
    <row r="456" ht="25" customHeight="1" s="18">
      <c r="A456" s="101" t="n"/>
      <c r="B456" s="89" t="n"/>
      <c r="C456" s="74" t="n"/>
      <c r="D456" s="74" t="n"/>
      <c r="E456" s="75" t="n"/>
    </row>
    <row r="457" ht="25" customHeight="1" s="18">
      <c r="A457" s="102" t="n"/>
      <c r="B457" s="66" t="n"/>
      <c r="C457" s="77" t="n"/>
      <c r="D457" s="77" t="n"/>
      <c r="E457" s="78" t="n"/>
    </row>
    <row r="458" ht="25" customHeight="1" s="18">
      <c r="A458" s="101" t="n"/>
      <c r="B458" s="89" t="n"/>
      <c r="C458" s="74" t="n"/>
      <c r="D458" s="74" t="n"/>
      <c r="E458" s="75" t="n"/>
    </row>
    <row r="459" ht="25" customHeight="1" s="18">
      <c r="A459" s="102" t="n"/>
      <c r="B459" s="66" t="n"/>
      <c r="C459" s="77" t="n"/>
      <c r="D459" s="77" t="n"/>
      <c r="E459" s="78" t="n"/>
    </row>
    <row r="460" ht="25" customHeight="1" s="18">
      <c r="A460" s="101" t="n"/>
      <c r="B460" s="89" t="n"/>
      <c r="C460" s="74" t="n"/>
      <c r="D460" s="74" t="n"/>
      <c r="E460" s="75" t="n"/>
    </row>
    <row r="461" ht="25" customHeight="1" s="18">
      <c r="A461" s="102" t="n"/>
      <c r="B461" s="66" t="n"/>
      <c r="C461" s="77" t="n"/>
      <c r="D461" s="77" t="n"/>
      <c r="E461" s="78" t="n"/>
    </row>
    <row r="462" ht="25" customHeight="1" s="18">
      <c r="A462" s="101" t="n"/>
      <c r="B462" s="89" t="n"/>
      <c r="C462" s="74" t="n"/>
      <c r="D462" s="74" t="n"/>
      <c r="E462" s="75" t="n"/>
    </row>
    <row r="463" ht="25" customHeight="1" s="18">
      <c r="A463" s="102" t="n"/>
      <c r="B463" s="66" t="n"/>
      <c r="C463" s="77" t="n"/>
      <c r="D463" s="77" t="n"/>
      <c r="E463" s="78" t="n"/>
    </row>
    <row r="464" ht="25" customHeight="1" s="18">
      <c r="A464" s="101" t="n"/>
      <c r="B464" s="89" t="n"/>
      <c r="C464" s="74" t="n"/>
      <c r="D464" s="74" t="n"/>
      <c r="E464" s="75" t="n"/>
    </row>
    <row r="465" ht="25" customHeight="1" s="18">
      <c r="A465" s="102" t="n"/>
      <c r="B465" s="66" t="n"/>
      <c r="C465" s="77" t="n"/>
      <c r="D465" s="77" t="n"/>
      <c r="E465" s="78" t="n"/>
    </row>
    <row r="466" ht="25" customHeight="1" s="18">
      <c r="A466" s="101" t="n"/>
      <c r="B466" s="89" t="n"/>
      <c r="C466" s="74" t="n"/>
      <c r="D466" s="74" t="n"/>
      <c r="E466" s="75" t="n"/>
    </row>
    <row r="467" ht="25" customHeight="1" s="18">
      <c r="A467" s="102" t="n"/>
      <c r="B467" s="66" t="n"/>
      <c r="C467" s="77" t="n"/>
      <c r="D467" s="77" t="n"/>
      <c r="E467" s="78" t="n"/>
    </row>
    <row r="468" ht="25" customHeight="1" s="18">
      <c r="A468" s="101" t="n"/>
      <c r="B468" s="89" t="n"/>
      <c r="C468" s="74" t="n"/>
      <c r="D468" s="74" t="n"/>
      <c r="E468" s="75" t="n"/>
    </row>
    <row r="469" ht="25" customHeight="1" s="18">
      <c r="A469" s="102" t="n"/>
      <c r="B469" s="66" t="n"/>
      <c r="C469" s="77" t="n"/>
      <c r="D469" s="77" t="n"/>
      <c r="E469" s="78" t="n"/>
    </row>
    <row r="470" ht="25" customHeight="1" s="18">
      <c r="A470" s="101" t="n"/>
      <c r="B470" s="89" t="n"/>
      <c r="C470" s="74" t="n"/>
      <c r="D470" s="74" t="n"/>
      <c r="E470" s="75" t="n"/>
    </row>
    <row r="471" ht="25" customHeight="1" s="18">
      <c r="A471" s="102" t="n"/>
      <c r="B471" s="66" t="n"/>
      <c r="C471" s="77" t="n"/>
      <c r="D471" s="77" t="n"/>
      <c r="E471" s="78" t="n"/>
    </row>
    <row r="472" ht="25" customHeight="1" s="18">
      <c r="A472" s="101" t="n"/>
      <c r="B472" s="89" t="n"/>
      <c r="C472" s="74" t="n"/>
      <c r="D472" s="74" t="n"/>
      <c r="E472" s="75" t="n"/>
    </row>
    <row r="473" ht="25" customHeight="1" s="18">
      <c r="A473" s="102" t="n"/>
      <c r="B473" s="66" t="n"/>
      <c r="C473" s="77" t="n"/>
      <c r="D473" s="77" t="n"/>
      <c r="E473" s="78" t="n"/>
    </row>
    <row r="474" ht="25" customHeight="1" s="18">
      <c r="A474" s="101" t="n"/>
      <c r="B474" s="89" t="n"/>
      <c r="C474" s="74" t="n"/>
      <c r="D474" s="74" t="n"/>
      <c r="E474" s="75" t="n"/>
    </row>
    <row r="475" ht="25" customHeight="1" s="18">
      <c r="A475" s="102" t="n"/>
      <c r="B475" s="66" t="n"/>
      <c r="C475" s="77" t="n"/>
      <c r="D475" s="77" t="n"/>
      <c r="E475" s="78" t="n"/>
    </row>
    <row r="476" ht="25" customHeight="1" s="18">
      <c r="A476" s="101" t="n"/>
      <c r="B476" s="89" t="n"/>
      <c r="C476" s="74" t="n"/>
      <c r="D476" s="74" t="n"/>
      <c r="E476" s="75" t="n"/>
    </row>
    <row r="477" ht="25" customHeight="1" s="18">
      <c r="A477" s="102" t="n"/>
      <c r="B477" s="66" t="n"/>
      <c r="C477" s="77" t="n"/>
      <c r="D477" s="77" t="n"/>
      <c r="E477" s="78" t="n"/>
    </row>
    <row r="478" ht="25" customHeight="1" s="18">
      <c r="A478" s="101" t="n"/>
      <c r="B478" s="89" t="n"/>
      <c r="C478" s="74" t="n"/>
      <c r="D478" s="74" t="n"/>
      <c r="E478" s="75" t="n"/>
    </row>
    <row r="479" ht="25" customHeight="1" s="18">
      <c r="A479" s="102" t="n"/>
      <c r="B479" s="66" t="n"/>
      <c r="C479" s="77" t="n"/>
      <c r="D479" s="77" t="n"/>
      <c r="E479" s="78" t="n"/>
    </row>
    <row r="480" ht="25" customHeight="1" s="18">
      <c r="A480" s="101" t="n"/>
      <c r="B480" s="89" t="n"/>
      <c r="C480" s="74" t="n"/>
      <c r="D480" s="74" t="n"/>
      <c r="E480" s="75" t="n"/>
    </row>
    <row r="481" ht="25" customHeight="1" s="18">
      <c r="A481" s="102" t="n"/>
      <c r="B481" s="66" t="n"/>
      <c r="C481" s="77" t="n"/>
      <c r="D481" s="77" t="n"/>
      <c r="E481" s="78" t="n"/>
    </row>
    <row r="482" ht="25" customHeight="1" s="18">
      <c r="A482" s="101" t="n"/>
      <c r="B482" s="89" t="n"/>
      <c r="C482" s="74" t="n"/>
      <c r="D482" s="74" t="n"/>
      <c r="E482" s="75" t="n"/>
    </row>
    <row r="483" ht="25" customHeight="1" s="18">
      <c r="A483" s="102" t="n"/>
      <c r="B483" s="66" t="n"/>
      <c r="C483" s="77" t="n"/>
      <c r="D483" s="77" t="n"/>
      <c r="E483" s="78" t="n"/>
    </row>
    <row r="484" ht="25" customHeight="1" s="18">
      <c r="A484" s="101" t="n"/>
      <c r="B484" s="89" t="n"/>
      <c r="C484" s="74" t="n"/>
      <c r="D484" s="74" t="n"/>
      <c r="E484" s="75" t="n"/>
    </row>
    <row r="485" ht="25" customHeight="1" s="18">
      <c r="A485" s="102" t="n"/>
      <c r="B485" s="66" t="n"/>
      <c r="C485" s="77" t="n"/>
      <c r="D485" s="77" t="n"/>
      <c r="E485" s="78" t="n"/>
    </row>
    <row r="486" ht="25" customHeight="1" s="18">
      <c r="A486" s="101" t="n"/>
      <c r="B486" s="89" t="n"/>
      <c r="C486" s="74" t="n"/>
      <c r="D486" s="74" t="n"/>
      <c r="E486" s="75" t="n"/>
    </row>
    <row r="487" ht="25" customHeight="1" s="18">
      <c r="A487" s="102" t="n"/>
      <c r="B487" s="66" t="n"/>
      <c r="C487" s="77" t="n"/>
      <c r="D487" s="77" t="n"/>
      <c r="E487" s="78" t="n"/>
    </row>
    <row r="488" ht="25" customHeight="1" s="18">
      <c r="A488" s="101" t="n"/>
      <c r="B488" s="89" t="n"/>
      <c r="C488" s="74" t="n"/>
      <c r="D488" s="74" t="n"/>
      <c r="E488" s="75" t="n"/>
    </row>
    <row r="489" ht="25" customHeight="1" s="18">
      <c r="A489" s="102" t="n"/>
      <c r="B489" s="66" t="n"/>
      <c r="C489" s="77" t="n"/>
      <c r="D489" s="77" t="n"/>
      <c r="E489" s="78" t="n"/>
    </row>
    <row r="490" ht="25" customHeight="1" s="18">
      <c r="A490" s="101" t="n"/>
      <c r="B490" s="89" t="n"/>
      <c r="C490" s="74" t="n"/>
      <c r="D490" s="74" t="n"/>
      <c r="E490" s="75" t="n"/>
    </row>
    <row r="491" ht="25" customHeight="1" s="18">
      <c r="A491" s="102" t="n"/>
      <c r="B491" s="66" t="n"/>
      <c r="C491" s="77" t="n"/>
      <c r="D491" s="77" t="n"/>
      <c r="E491" s="78" t="n"/>
    </row>
    <row r="492" ht="25" customHeight="1" s="18">
      <c r="A492" s="101" t="n"/>
      <c r="B492" s="89" t="n"/>
      <c r="C492" s="74" t="n"/>
      <c r="D492" s="74" t="n"/>
      <c r="E492" s="75" t="n"/>
    </row>
    <row r="493" ht="25" customHeight="1" s="18">
      <c r="A493" s="102" t="n"/>
      <c r="B493" s="66" t="n"/>
      <c r="C493" s="77" t="n"/>
      <c r="D493" s="77" t="n"/>
      <c r="E493" s="78" t="n"/>
    </row>
    <row r="494" ht="25" customHeight="1" s="18">
      <c r="A494" s="101" t="n"/>
      <c r="B494" s="89" t="n"/>
      <c r="C494" s="74" t="n"/>
      <c r="D494" s="74" t="n"/>
      <c r="E494" s="75" t="n"/>
    </row>
    <row r="495" ht="25" customHeight="1" s="18">
      <c r="A495" s="102" t="n"/>
      <c r="B495" s="66" t="n"/>
      <c r="C495" s="77" t="n"/>
      <c r="D495" s="77" t="n"/>
      <c r="E495" s="78" t="n"/>
    </row>
    <row r="496" ht="25" customHeight="1" s="18">
      <c r="A496" s="101" t="n"/>
      <c r="B496" s="89" t="n"/>
      <c r="C496" s="74" t="n"/>
      <c r="D496" s="74" t="n"/>
      <c r="E496" s="75" t="n"/>
    </row>
    <row r="497" ht="25" customHeight="1" s="18">
      <c r="A497" s="102" t="n"/>
      <c r="B497" s="66" t="n"/>
      <c r="C497" s="77" t="n"/>
      <c r="D497" s="77" t="n"/>
      <c r="E497" s="78" t="n"/>
    </row>
    <row r="498" ht="25" customHeight="1" s="18">
      <c r="A498" s="101" t="n"/>
      <c r="B498" s="89" t="n"/>
      <c r="C498" s="74" t="n"/>
      <c r="D498" s="74" t="n"/>
      <c r="E498" s="75" t="n"/>
    </row>
    <row r="499" ht="25" customHeight="1" s="18">
      <c r="A499" s="102" t="n"/>
      <c r="B499" s="66" t="n"/>
      <c r="C499" s="77" t="n"/>
      <c r="D499" s="77" t="n"/>
      <c r="E499" s="78" t="n"/>
    </row>
  </sheetData>
  <conditionalFormatting sqref="D2:D500">
    <cfRule type="expression" priority="1" dxfId="8">
      <formula>D2="Gasto"</formula>
    </cfRule>
    <cfRule type="expression" priority="2" dxfId="7">
      <formula>D2="Ingreso"</formula>
    </cfRule>
  </conditionalFormatting>
  <dataValidations count="3">
    <dataValidation sqref="C2:C500" showDropDown="0" showInputMessage="0" showErrorMessage="0" allowBlank="1" type="list">
      <formula1>'Categorías'!$A$2:$A$15</formula1>
    </dataValidation>
    <dataValidation sqref="D2:D500" showDropDown="0" showInputMessage="0" showErrorMessage="0" allowBlank="1" type="list">
      <formula1>"Ingreso,Gasto"</formula1>
    </dataValidation>
    <dataValidation sqref="A2:A500" showDropDown="0" showInputMessage="0" showErrorMessage="0" allowBlank="1" errorTitle="Fecha no válida" error="Por favor introduce una fecha válida (dd/mm/yyyy) o utiliza el selector de fecha." type="date" operator="greaterThanOrEqual">
      <formula1>DATE(2000,1,1)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 outlineLevelCol="0"/>
  <cols>
    <col width="18" customWidth="1" style="18" min="1" max="1"/>
    <col width="22" customWidth="1" style="18" min="2" max="2"/>
    <col width="22" customWidth="1" style="18" min="3" max="3"/>
    <col width="24" customWidth="1" style="18" min="4" max="4"/>
    <col width="22" customWidth="1" style="18" min="5" max="5"/>
    <col width="24" customWidth="1" style="18" min="6" max="6"/>
    <col width="24" customWidth="1" style="18" min="7" max="7"/>
    <col width="24" customWidth="1" style="18" min="8" max="8"/>
    <col width="24" customWidth="1" style="18" min="9" max="9"/>
    <col width="24" customWidth="1" style="18" min="10" max="10"/>
    <col width="24" customWidth="1" style="18" min="11" max="11"/>
    <col width="24" customWidth="1" style="18" min="12" max="12"/>
    <col width="24" customWidth="1" style="18" min="13" max="13"/>
    <col width="24" customWidth="1" style="18" min="14" max="14"/>
    <col width="24" customWidth="1" style="18" min="15" max="15"/>
    <col width="24" customWidth="1" style="18" min="16" max="16"/>
    <col width="24" customWidth="1" style="18" min="17" max="17"/>
    <col width="24" customWidth="1" style="18" min="18" max="18"/>
  </cols>
  <sheetData>
    <row r="1" ht="35" customHeight="1" s="18">
      <c r="A1" s="25" t="inlineStr">
        <is>
          <t>MATRIZ DE RESUMEN MENSUAL Y ANÁLISIS DE GASTOS 2027</t>
        </is>
      </c>
    </row>
    <row r="2" ht="30" customHeight="1" s="18">
      <c r="A2" s="96" t="inlineStr">
        <is>
          <t>Mes</t>
        </is>
      </c>
      <c r="B2" s="65" t="inlineStr">
        <is>
          <t>Ingresos (€)</t>
        </is>
      </c>
      <c r="C2" s="65" t="inlineStr">
        <is>
          <t>Gastos (€)</t>
        </is>
      </c>
      <c r="D2" s="65" t="inlineStr">
        <is>
          <t>Ahorro Neto (€)</t>
        </is>
      </c>
      <c r="E2" s="96" t="inlineStr">
        <is>
          <t>Tasa de Ahorro (%)</t>
        </is>
      </c>
      <c r="F2" s="65" t="inlineStr">
        <is>
          <t>Vivienda</t>
        </is>
      </c>
      <c r="G2" s="65" t="inlineStr">
        <is>
          <t>Comida y bebida</t>
        </is>
      </c>
      <c r="H2" s="65" t="inlineStr">
        <is>
          <t>Ocio / Viajes</t>
        </is>
      </c>
      <c r="I2" s="65" t="inlineStr">
        <is>
          <t>Ocio / salidas</t>
        </is>
      </c>
      <c r="J2" s="65" t="inlineStr">
        <is>
          <t>Tecnología / Otros</t>
        </is>
      </c>
      <c r="K2" s="65" t="inlineStr">
        <is>
          <t>Transporte / Gasolina</t>
        </is>
      </c>
      <c r="L2" s="65" t="inlineStr">
        <is>
          <t>Ocio / Eventos</t>
        </is>
      </c>
      <c r="M2" s="65" t="inlineStr">
        <is>
          <t>Salud</t>
        </is>
      </c>
      <c r="N2" s="65" t="inlineStr">
        <is>
          <t>Educación</t>
        </is>
      </c>
      <c r="O2" s="65" t="inlineStr">
        <is>
          <t>Ropa</t>
        </is>
      </c>
      <c r="P2" s="65" t="inlineStr">
        <is>
          <t>Suscripciones</t>
        </is>
      </c>
      <c r="Q2" s="65" t="inlineStr">
        <is>
          <t>Mascotas</t>
        </is>
      </c>
      <c r="R2" s="65" t="inlineStr">
        <is>
          <t>Otros</t>
        </is>
      </c>
    </row>
    <row r="3" ht="24" customHeight="1" s="18">
      <c r="A3" s="97" t="inlineStr">
        <is>
          <t>Enero</t>
        </is>
      </c>
      <c r="B3" s="78">
        <f>IF(COUNTIFS('Gastos e Ingresos 2027'!$A:$A, "&gt;="&amp;DATE(2027, 1, 1), 'Gastos e Ingresos 2027'!$A:$A, "&lt;"&amp;DATE(2027, 2, 1))&gt;0, SUMIFS('Gastos e Ingresos 2027'!$E:$E, 'Gastos e Ingresos 2027'!$D:$D, "Ingreso", 'Gastos e Ingresos 2027'!$A:$A, "&gt;="&amp;DATE(2027, 1, 1), 'Gastos e Ingresos 2027'!$A:$A, "&lt;"&amp;DATE(2027, 2, 1)), "")</f>
        <v/>
      </c>
      <c r="C3" s="78">
        <f>IF(COUNTIFS('Gastos e Ingresos 2027'!$A:$A, "&gt;="&amp;DATE(2027, 1, 1), 'Gastos e Ingresos 2027'!$A:$A, "&lt;"&amp;DATE(2027, 2, 1))&gt;0, SUMIFS('Gastos e Ingresos 2027'!$E:$E, 'Gastos e Ingresos 2027'!$D:$D, "Gasto", 'Gastos e Ingresos 2027'!$A:$A, "&gt;="&amp;DATE(2027, 1, 1), 'Gastos e Ingresos 2027'!$A:$A, "&lt;"&amp;DATE(2027, 2, 1)), "")</f>
        <v/>
      </c>
      <c r="D3" s="83">
        <f>IF(B3="","",B3-C3)</f>
        <v/>
      </c>
      <c r="E3" s="98">
        <f>IF(B3="","",IF(B3&gt;0, D3/B3, 0))</f>
        <v/>
      </c>
      <c r="F3" s="78">
        <f>IF(COUNTIFS('Gastos e Ingresos 2027'!$A:$A, "&gt;="&amp;DATE(2027, 1, 1), 'Gastos e Ingresos 2027'!$A:$A, "&lt;"&amp;DATE(2027, 2, 1))&gt;0, SUMIFS('Gastos e Ingresos 2027'!$E:$E, 'Gastos e Ingresos 2027'!$D:$D, "Gasto", 'Gastos e Ingresos 2027'!$C:$C, F$2, 'Gastos e Ingresos 2027'!$A:$A, "&gt;="&amp;DATE(2027, 1, 1), 'Gastos e Ingresos 2027'!$A:$A, "&lt;"&amp;DATE(2027, 2, 1)), "")</f>
        <v/>
      </c>
      <c r="G3" s="78">
        <f>IF(COUNTIFS('Gastos e Ingresos 2027'!$A:$A, "&gt;="&amp;DATE(2027, 1, 1), 'Gastos e Ingresos 2027'!$A:$A, "&lt;"&amp;DATE(2027, 2, 1))&gt;0, SUMIFS('Gastos e Ingresos 2027'!$E:$E, 'Gastos e Ingresos 2027'!$D:$D, "Gasto", 'Gastos e Ingresos 2027'!$C:$C, G$2, 'Gastos e Ingresos 2027'!$A:$A, "&gt;="&amp;DATE(2027, 1, 1), 'Gastos e Ingresos 2027'!$A:$A, "&lt;"&amp;DATE(2027, 2, 1)), "")</f>
        <v/>
      </c>
      <c r="H3" s="78">
        <f>IF(COUNTIFS('Gastos e Ingresos 2027'!$A:$A, "&gt;="&amp;DATE(2027, 1, 1), 'Gastos e Ingresos 2027'!$A:$A, "&lt;"&amp;DATE(2027, 2, 1))&gt;0, SUMIFS('Gastos e Ingresos 2027'!$E:$E, 'Gastos e Ingresos 2027'!$D:$D, "Gasto", 'Gastos e Ingresos 2027'!$C:$C, H$2, 'Gastos e Ingresos 2027'!$A:$A, "&gt;="&amp;DATE(2027, 1, 1), 'Gastos e Ingresos 2027'!$A:$A, "&lt;"&amp;DATE(2027, 2, 1)), "")</f>
        <v/>
      </c>
      <c r="I3" s="78">
        <f>IF(COUNTIFS('Gastos e Ingresos 2027'!$A:$A, "&gt;="&amp;DATE(2027, 1, 1), 'Gastos e Ingresos 2027'!$A:$A, "&lt;"&amp;DATE(2027, 2, 1))&gt;0, SUMIFS('Gastos e Ingresos 2027'!$E:$E, 'Gastos e Ingresos 2027'!$D:$D, "Gasto", 'Gastos e Ingresos 2027'!$C:$C, I$2, 'Gastos e Ingresos 2027'!$A:$A, "&gt;="&amp;DATE(2027, 1, 1), 'Gastos e Ingresos 2027'!$A:$A, "&lt;"&amp;DATE(2027, 2, 1)), "")</f>
        <v/>
      </c>
      <c r="J3" s="78">
        <f>IF(COUNTIFS('Gastos e Ingresos 2027'!$A:$A, "&gt;="&amp;DATE(2027, 1, 1), 'Gastos e Ingresos 2027'!$A:$A, "&lt;"&amp;DATE(2027, 2, 1))&gt;0, SUMIFS('Gastos e Ingresos 2027'!$E:$E, 'Gastos e Ingresos 2027'!$D:$D, "Gasto", 'Gastos e Ingresos 2027'!$C:$C, J$2, 'Gastos e Ingresos 2027'!$A:$A, "&gt;="&amp;DATE(2027, 1, 1), 'Gastos e Ingresos 2027'!$A:$A, "&lt;"&amp;DATE(2027, 2, 1)), "")</f>
        <v/>
      </c>
      <c r="K3" s="78">
        <f>IF(COUNTIFS('Gastos e Ingresos 2027'!$A:$A, "&gt;="&amp;DATE(2027, 1, 1), 'Gastos e Ingresos 2027'!$A:$A, "&lt;"&amp;DATE(2027, 2, 1))&gt;0, SUMIFS('Gastos e Ingresos 2027'!$E:$E, 'Gastos e Ingresos 2027'!$D:$D, "Gasto", 'Gastos e Ingresos 2027'!$C:$C, K$2, 'Gastos e Ingresos 2027'!$A:$A, "&gt;="&amp;DATE(2027, 1, 1), 'Gastos e Ingresos 2027'!$A:$A, "&lt;"&amp;DATE(2027, 2, 1)), "")</f>
        <v/>
      </c>
      <c r="L3" s="78">
        <f>IF(COUNTIFS('Gastos e Ingresos 2027'!$A:$A, "&gt;="&amp;DATE(2027, 1, 1), 'Gastos e Ingresos 2027'!$A:$A, "&lt;"&amp;DATE(2027, 2, 1))&gt;0, SUMIFS('Gastos e Ingresos 2027'!$E:$E, 'Gastos e Ingresos 2027'!$D:$D, "Gasto", 'Gastos e Ingresos 2027'!$C:$C, L$2, 'Gastos e Ingresos 2027'!$A:$A, "&gt;="&amp;DATE(2027, 1, 1), 'Gastos e Ingresos 2027'!$A:$A, "&lt;"&amp;DATE(2027, 2, 1)), "")</f>
        <v/>
      </c>
      <c r="M3" s="78">
        <f>IF(COUNTIFS('Gastos e Ingresos 2027'!$A:$A, "&gt;="&amp;DATE(2027, 1, 1), 'Gastos e Ingresos 2027'!$A:$A, "&lt;"&amp;DATE(2027, 2, 1))&gt;0, SUMIFS('Gastos e Ingresos 2027'!$E:$E, 'Gastos e Ingresos 2027'!$D:$D, "Gasto", 'Gastos e Ingresos 2027'!$C:$C, M$2, 'Gastos e Ingresos 2027'!$A:$A, "&gt;="&amp;DATE(2027, 1, 1), 'Gastos e Ingresos 2027'!$A:$A, "&lt;"&amp;DATE(2027, 2, 1)), "")</f>
        <v/>
      </c>
      <c r="N3" s="78">
        <f>IF(COUNTIFS('Gastos e Ingresos 2027'!$A:$A, "&gt;="&amp;DATE(2027, 1, 1), 'Gastos e Ingresos 2027'!$A:$A, "&lt;"&amp;DATE(2027, 2, 1))&gt;0, SUMIFS('Gastos e Ingresos 2027'!$E:$E, 'Gastos e Ingresos 2027'!$D:$D, "Gasto", 'Gastos e Ingresos 2027'!$C:$C, N$2, 'Gastos e Ingresos 2027'!$A:$A, "&gt;="&amp;DATE(2027, 1, 1), 'Gastos e Ingresos 2027'!$A:$A, "&lt;"&amp;DATE(2027, 2, 1)), "")</f>
        <v/>
      </c>
      <c r="O3" s="78">
        <f>IF(COUNTIFS('Gastos e Ingresos 2027'!$A:$A, "&gt;="&amp;DATE(2027, 1, 1), 'Gastos e Ingresos 2027'!$A:$A, "&lt;"&amp;DATE(2027, 2, 1))&gt;0, SUMIFS('Gastos e Ingresos 2027'!$E:$E, 'Gastos e Ingresos 2027'!$D:$D, "Gasto", 'Gastos e Ingresos 2027'!$C:$C, O$2, 'Gastos e Ingresos 2027'!$A:$A, "&gt;="&amp;DATE(2027, 1, 1), 'Gastos e Ingresos 2027'!$A:$A, "&lt;"&amp;DATE(2027, 2, 1)), "")</f>
        <v/>
      </c>
      <c r="P3" s="78">
        <f>IF(COUNTIFS('Gastos e Ingresos 2027'!$A:$A, "&gt;="&amp;DATE(2027, 1, 1), 'Gastos e Ingresos 2027'!$A:$A, "&lt;"&amp;DATE(2027, 2, 1))&gt;0, SUMIFS('Gastos e Ingresos 2027'!$E:$E, 'Gastos e Ingresos 2027'!$D:$D, "Gasto", 'Gastos e Ingresos 2027'!$C:$C, P$2, 'Gastos e Ingresos 2027'!$A:$A, "&gt;="&amp;DATE(2027, 1, 1), 'Gastos e Ingresos 2027'!$A:$A, "&lt;"&amp;DATE(2027, 2, 1)), "")</f>
        <v/>
      </c>
      <c r="Q3" s="78">
        <f>IF(COUNTIFS('Gastos e Ingresos 2027'!$A:$A, "&gt;="&amp;DATE(2027, 1, 1), 'Gastos e Ingresos 2027'!$A:$A, "&lt;"&amp;DATE(2027, 2, 1))&gt;0, SUMIFS('Gastos e Ingresos 2027'!$E:$E, 'Gastos e Ingresos 2027'!$D:$D, "Gasto", 'Gastos e Ingresos 2027'!$C:$C, Q$2, 'Gastos e Ingresos 2027'!$A:$A, "&gt;="&amp;DATE(2027, 1, 1), 'Gastos e Ingresos 2027'!$A:$A, "&lt;"&amp;DATE(2027, 2, 1)), "")</f>
        <v/>
      </c>
      <c r="R3" s="78">
        <f>IF(COUNTIFS('Gastos e Ingresos 2027'!$A:$A, "&gt;="&amp;DATE(2027, 1, 1), 'Gastos e Ingresos 2027'!$A:$A, "&lt;"&amp;DATE(2027, 2, 1))&gt;0, SUMIFS('Gastos e Ingresos 2027'!$E:$E, 'Gastos e Ingresos 2027'!$D:$D, "Gasto", 'Gastos e Ingresos 2027'!$C:$C, R$2, 'Gastos e Ingresos 2027'!$A:$A, "&gt;="&amp;DATE(2027, 1, 1), 'Gastos e Ingresos 2027'!$A:$A, "&lt;"&amp;DATE(2027, 2, 1)), "")</f>
        <v/>
      </c>
    </row>
    <row r="4" ht="24" customHeight="1" s="18">
      <c r="A4" s="97" t="inlineStr">
        <is>
          <t>Febrero</t>
        </is>
      </c>
      <c r="B4" s="78">
        <f>IF(COUNTIFS('Gastos e Ingresos 2027'!$A:$A, "&gt;="&amp;DATE(2027, 2, 1), 'Gastos e Ingresos 2027'!$A:$A, "&lt;"&amp;DATE(2027, 3, 1))&gt;0, SUMIFS('Gastos e Ingresos 2027'!$E:$E, 'Gastos e Ingresos 2027'!$D:$D, "Ingreso", 'Gastos e Ingresos 2027'!$A:$A, "&gt;="&amp;DATE(2027, 2, 1), 'Gastos e Ingresos 2027'!$A:$A, "&lt;"&amp;DATE(2027, 3, 1)), "")</f>
        <v/>
      </c>
      <c r="C4" s="78">
        <f>IF(COUNTIFS('Gastos e Ingresos 2027'!$A:$A, "&gt;="&amp;DATE(2027, 2, 1), 'Gastos e Ingresos 2027'!$A:$A, "&lt;"&amp;DATE(2027, 3, 1))&gt;0, SUMIFS('Gastos e Ingresos 2027'!$E:$E, 'Gastos e Ingresos 2027'!$D:$D, "Gasto", 'Gastos e Ingresos 2027'!$A:$A, "&gt;="&amp;DATE(2027, 2, 1), 'Gastos e Ingresos 2027'!$A:$A, "&lt;"&amp;DATE(2027, 3, 1)), "")</f>
        <v/>
      </c>
      <c r="D4" s="83">
        <f>IF(B4="","",B4-C4)</f>
        <v/>
      </c>
      <c r="E4" s="98">
        <f>IF(B4="","",IF(B4&gt;0, D4/B4, 0))</f>
        <v/>
      </c>
      <c r="F4" s="75">
        <f>IF(COUNTIFS('Gastos e Ingresos 2027'!$A:$A, "&gt;="&amp;DATE(2027, 2, 1), 'Gastos e Ingresos 2027'!$A:$A, "&lt;"&amp;DATE(2027, 3, 1))&gt;0, SUMIFS('Gastos e Ingresos 2027'!$E:$E, 'Gastos e Ingresos 2027'!$D:$D, "Gasto", 'Gastos e Ingresos 2027'!$C:$C, F$2, 'Gastos e Ingresos 2027'!$A:$A, "&gt;="&amp;DATE(2027, 2, 1), 'Gastos e Ingresos 2027'!$A:$A, "&lt;"&amp;DATE(2027, 3, 1)), "")</f>
        <v/>
      </c>
      <c r="G4" s="75">
        <f>IF(COUNTIFS('Gastos e Ingresos 2027'!$A:$A, "&gt;="&amp;DATE(2027, 2, 1), 'Gastos e Ingresos 2027'!$A:$A, "&lt;"&amp;DATE(2027, 3, 1))&gt;0, SUMIFS('Gastos e Ingresos 2027'!$E:$E, 'Gastos e Ingresos 2027'!$D:$D, "Gasto", 'Gastos e Ingresos 2027'!$C:$C, G$2, 'Gastos e Ingresos 2027'!$A:$A, "&gt;="&amp;DATE(2027, 2, 1), 'Gastos e Ingresos 2027'!$A:$A, "&lt;"&amp;DATE(2027, 3, 1)), "")</f>
        <v/>
      </c>
      <c r="H4" s="75">
        <f>IF(COUNTIFS('Gastos e Ingresos 2027'!$A:$A, "&gt;="&amp;DATE(2027, 2, 1), 'Gastos e Ingresos 2027'!$A:$A, "&lt;"&amp;DATE(2027, 3, 1))&gt;0, SUMIFS('Gastos e Ingresos 2027'!$E:$E, 'Gastos e Ingresos 2027'!$D:$D, "Gasto", 'Gastos e Ingresos 2027'!$C:$C, H$2, 'Gastos e Ingresos 2027'!$A:$A, "&gt;="&amp;DATE(2027, 2, 1), 'Gastos e Ingresos 2027'!$A:$A, "&lt;"&amp;DATE(2027, 3, 1)), "")</f>
        <v/>
      </c>
      <c r="I4" s="75">
        <f>IF(COUNTIFS('Gastos e Ingresos 2027'!$A:$A, "&gt;="&amp;DATE(2027, 2, 1), 'Gastos e Ingresos 2027'!$A:$A, "&lt;"&amp;DATE(2027, 3, 1))&gt;0, SUMIFS('Gastos e Ingresos 2027'!$E:$E, 'Gastos e Ingresos 2027'!$D:$D, "Gasto", 'Gastos e Ingresos 2027'!$C:$C, I$2, 'Gastos e Ingresos 2027'!$A:$A, "&gt;="&amp;DATE(2027, 2, 1), 'Gastos e Ingresos 2027'!$A:$A, "&lt;"&amp;DATE(2027, 3, 1)), "")</f>
        <v/>
      </c>
      <c r="J4" s="75">
        <f>IF(COUNTIFS('Gastos e Ingresos 2027'!$A:$A, "&gt;="&amp;DATE(2027, 2, 1), 'Gastos e Ingresos 2027'!$A:$A, "&lt;"&amp;DATE(2027, 3, 1))&gt;0, SUMIFS('Gastos e Ingresos 2027'!$E:$E, 'Gastos e Ingresos 2027'!$D:$D, "Gasto", 'Gastos e Ingresos 2027'!$C:$C, J$2, 'Gastos e Ingresos 2027'!$A:$A, "&gt;="&amp;DATE(2027, 2, 1), 'Gastos e Ingresos 2027'!$A:$A, "&lt;"&amp;DATE(2027, 3, 1)), "")</f>
        <v/>
      </c>
      <c r="K4" s="75">
        <f>IF(COUNTIFS('Gastos e Ingresos 2027'!$A:$A, "&gt;="&amp;DATE(2027, 2, 1), 'Gastos e Ingresos 2027'!$A:$A, "&lt;"&amp;DATE(2027, 3, 1))&gt;0, SUMIFS('Gastos e Ingresos 2027'!$E:$E, 'Gastos e Ingresos 2027'!$D:$D, "Gasto", 'Gastos e Ingresos 2027'!$C:$C, K$2, 'Gastos e Ingresos 2027'!$A:$A, "&gt;="&amp;DATE(2027, 2, 1), 'Gastos e Ingresos 2027'!$A:$A, "&lt;"&amp;DATE(2027, 3, 1)), "")</f>
        <v/>
      </c>
      <c r="L4" s="75">
        <f>IF(COUNTIFS('Gastos e Ingresos 2027'!$A:$A, "&gt;="&amp;DATE(2027, 2, 1), 'Gastos e Ingresos 2027'!$A:$A, "&lt;"&amp;DATE(2027, 3, 1))&gt;0, SUMIFS('Gastos e Ingresos 2027'!$E:$E, 'Gastos e Ingresos 2027'!$D:$D, "Gasto", 'Gastos e Ingresos 2027'!$C:$C, L$2, 'Gastos e Ingresos 2027'!$A:$A, "&gt;="&amp;DATE(2027, 2, 1), 'Gastos e Ingresos 2027'!$A:$A, "&lt;"&amp;DATE(2027, 3, 1)), "")</f>
        <v/>
      </c>
      <c r="M4" s="75">
        <f>IF(COUNTIFS('Gastos e Ingresos 2027'!$A:$A, "&gt;="&amp;DATE(2027, 2, 1), 'Gastos e Ingresos 2027'!$A:$A, "&lt;"&amp;DATE(2027, 3, 1))&gt;0, SUMIFS('Gastos e Ingresos 2027'!$E:$E, 'Gastos e Ingresos 2027'!$D:$D, "Gasto", 'Gastos e Ingresos 2027'!$C:$C, M$2, 'Gastos e Ingresos 2027'!$A:$A, "&gt;="&amp;DATE(2027, 2, 1), 'Gastos e Ingresos 2027'!$A:$A, "&lt;"&amp;DATE(2027, 3, 1)), "")</f>
        <v/>
      </c>
      <c r="N4" s="75">
        <f>IF(COUNTIFS('Gastos e Ingresos 2027'!$A:$A, "&gt;="&amp;DATE(2027, 2, 1), 'Gastos e Ingresos 2027'!$A:$A, "&lt;"&amp;DATE(2027, 3, 1))&gt;0, SUMIFS('Gastos e Ingresos 2027'!$E:$E, 'Gastos e Ingresos 2027'!$D:$D, "Gasto", 'Gastos e Ingresos 2027'!$C:$C, N$2, 'Gastos e Ingresos 2027'!$A:$A, "&gt;="&amp;DATE(2027, 2, 1), 'Gastos e Ingresos 2027'!$A:$A, "&lt;"&amp;DATE(2027, 3, 1)), "")</f>
        <v/>
      </c>
      <c r="O4" s="75">
        <f>IF(COUNTIFS('Gastos e Ingresos 2027'!$A:$A, "&gt;="&amp;DATE(2027, 2, 1), 'Gastos e Ingresos 2027'!$A:$A, "&lt;"&amp;DATE(2027, 3, 1))&gt;0, SUMIFS('Gastos e Ingresos 2027'!$E:$E, 'Gastos e Ingresos 2027'!$D:$D, "Gasto", 'Gastos e Ingresos 2027'!$C:$C, O$2, 'Gastos e Ingresos 2027'!$A:$A, "&gt;="&amp;DATE(2027, 2, 1), 'Gastos e Ingresos 2027'!$A:$A, "&lt;"&amp;DATE(2027, 3, 1)), "")</f>
        <v/>
      </c>
      <c r="P4" s="75">
        <f>IF(COUNTIFS('Gastos e Ingresos 2027'!$A:$A, "&gt;="&amp;DATE(2027, 2, 1), 'Gastos e Ingresos 2027'!$A:$A, "&lt;"&amp;DATE(2027, 3, 1))&gt;0, SUMIFS('Gastos e Ingresos 2027'!$E:$E, 'Gastos e Ingresos 2027'!$D:$D, "Gasto", 'Gastos e Ingresos 2027'!$C:$C, P$2, 'Gastos e Ingresos 2027'!$A:$A, "&gt;="&amp;DATE(2027, 2, 1), 'Gastos e Ingresos 2027'!$A:$A, "&lt;"&amp;DATE(2027, 3, 1)), "")</f>
        <v/>
      </c>
      <c r="Q4" s="75">
        <f>IF(COUNTIFS('Gastos e Ingresos 2027'!$A:$A, "&gt;="&amp;DATE(2027, 2, 1), 'Gastos e Ingresos 2027'!$A:$A, "&lt;"&amp;DATE(2027, 3, 1))&gt;0, SUMIFS('Gastos e Ingresos 2027'!$E:$E, 'Gastos e Ingresos 2027'!$D:$D, "Gasto", 'Gastos e Ingresos 2027'!$C:$C, Q$2, 'Gastos e Ingresos 2027'!$A:$A, "&gt;="&amp;DATE(2027, 2, 1), 'Gastos e Ingresos 2027'!$A:$A, "&lt;"&amp;DATE(2027, 3, 1)), "")</f>
        <v/>
      </c>
      <c r="R4" s="75">
        <f>IF(COUNTIFS('Gastos e Ingresos 2027'!$A:$A, "&gt;="&amp;DATE(2027, 2, 1), 'Gastos e Ingresos 2027'!$A:$A, "&lt;"&amp;DATE(2027, 3, 1))&gt;0, SUMIFS('Gastos e Ingresos 2027'!$E:$E, 'Gastos e Ingresos 2027'!$D:$D, "Gasto", 'Gastos e Ingresos 2027'!$C:$C, R$2, 'Gastos e Ingresos 2027'!$A:$A, "&gt;="&amp;DATE(2027, 2, 1), 'Gastos e Ingresos 2027'!$A:$A, "&lt;"&amp;DATE(2027, 3, 1)), "")</f>
        <v/>
      </c>
    </row>
    <row r="5" ht="24" customHeight="1" s="18">
      <c r="A5" s="97" t="inlineStr">
        <is>
          <t>Marzo</t>
        </is>
      </c>
      <c r="B5" s="78">
        <f>IF(COUNTIFS('Gastos e Ingresos 2027'!$A:$A, "&gt;="&amp;DATE(2027, 3, 1), 'Gastos e Ingresos 2027'!$A:$A, "&lt;"&amp;DATE(2027, 4, 1))&gt;0, SUMIFS('Gastos e Ingresos 2027'!$E:$E, 'Gastos e Ingresos 2027'!$D:$D, "Ingreso", 'Gastos e Ingresos 2027'!$A:$A, "&gt;="&amp;DATE(2027, 3, 1), 'Gastos e Ingresos 2027'!$A:$A, "&lt;"&amp;DATE(2027, 4, 1)), "")</f>
        <v/>
      </c>
      <c r="C5" s="78">
        <f>IF(COUNTIFS('Gastos e Ingresos 2027'!$A:$A, "&gt;="&amp;DATE(2027, 3, 1), 'Gastos e Ingresos 2027'!$A:$A, "&lt;"&amp;DATE(2027, 4, 1))&gt;0, SUMIFS('Gastos e Ingresos 2027'!$E:$E, 'Gastos e Ingresos 2027'!$D:$D, "Gasto", 'Gastos e Ingresos 2027'!$A:$A, "&gt;="&amp;DATE(2027, 3, 1), 'Gastos e Ingresos 2027'!$A:$A, "&lt;"&amp;DATE(2027, 4, 1)), "")</f>
        <v/>
      </c>
      <c r="D5" s="83">
        <f>IF(B5="","",B5-C5)</f>
        <v/>
      </c>
      <c r="E5" s="98">
        <f>IF(B5="","",IF(B5&gt;0, D5/B5, 0))</f>
        <v/>
      </c>
      <c r="F5" s="78">
        <f>IF(COUNTIFS('Gastos e Ingresos 2027'!$A:$A, "&gt;="&amp;DATE(2027, 3, 1), 'Gastos e Ingresos 2027'!$A:$A, "&lt;"&amp;DATE(2027, 4, 1))&gt;0, SUMIFS('Gastos e Ingresos 2027'!$E:$E, 'Gastos e Ingresos 2027'!$D:$D, "Gasto", 'Gastos e Ingresos 2027'!$C:$C, F$2, 'Gastos e Ingresos 2027'!$A:$A, "&gt;="&amp;DATE(2027, 3, 1), 'Gastos e Ingresos 2027'!$A:$A, "&lt;"&amp;DATE(2027, 4, 1)), "")</f>
        <v/>
      </c>
      <c r="G5" s="78">
        <f>IF(COUNTIFS('Gastos e Ingresos 2027'!$A:$A, "&gt;="&amp;DATE(2027, 3, 1), 'Gastos e Ingresos 2027'!$A:$A, "&lt;"&amp;DATE(2027, 4, 1))&gt;0, SUMIFS('Gastos e Ingresos 2027'!$E:$E, 'Gastos e Ingresos 2027'!$D:$D, "Gasto", 'Gastos e Ingresos 2027'!$C:$C, G$2, 'Gastos e Ingresos 2027'!$A:$A, "&gt;="&amp;DATE(2027, 3, 1), 'Gastos e Ingresos 2027'!$A:$A, "&lt;"&amp;DATE(2027, 4, 1)), "")</f>
        <v/>
      </c>
      <c r="H5" s="78">
        <f>IF(COUNTIFS('Gastos e Ingresos 2027'!$A:$A, "&gt;="&amp;DATE(2027, 3, 1), 'Gastos e Ingresos 2027'!$A:$A, "&lt;"&amp;DATE(2027, 4, 1))&gt;0, SUMIFS('Gastos e Ingresos 2027'!$E:$E, 'Gastos e Ingresos 2027'!$D:$D, "Gasto", 'Gastos e Ingresos 2027'!$C:$C, H$2, 'Gastos e Ingresos 2027'!$A:$A, "&gt;="&amp;DATE(2027, 3, 1), 'Gastos e Ingresos 2027'!$A:$A, "&lt;"&amp;DATE(2027, 4, 1)), "")</f>
        <v/>
      </c>
      <c r="I5" s="78">
        <f>IF(COUNTIFS('Gastos e Ingresos 2027'!$A:$A, "&gt;="&amp;DATE(2027, 3, 1), 'Gastos e Ingresos 2027'!$A:$A, "&lt;"&amp;DATE(2027, 4, 1))&gt;0, SUMIFS('Gastos e Ingresos 2027'!$E:$E, 'Gastos e Ingresos 2027'!$D:$D, "Gasto", 'Gastos e Ingresos 2027'!$C:$C, I$2, 'Gastos e Ingresos 2027'!$A:$A, "&gt;="&amp;DATE(2027, 3, 1), 'Gastos e Ingresos 2027'!$A:$A, "&lt;"&amp;DATE(2027, 4, 1)), "")</f>
        <v/>
      </c>
      <c r="J5" s="78">
        <f>IF(COUNTIFS('Gastos e Ingresos 2027'!$A:$A, "&gt;="&amp;DATE(2027, 3, 1), 'Gastos e Ingresos 2027'!$A:$A, "&lt;"&amp;DATE(2027, 4, 1))&gt;0, SUMIFS('Gastos e Ingresos 2027'!$E:$E, 'Gastos e Ingresos 2027'!$D:$D, "Gasto", 'Gastos e Ingresos 2027'!$C:$C, J$2, 'Gastos e Ingresos 2027'!$A:$A, "&gt;="&amp;DATE(2027, 3, 1), 'Gastos e Ingresos 2027'!$A:$A, "&lt;"&amp;DATE(2027, 4, 1)), "")</f>
        <v/>
      </c>
      <c r="K5" s="78">
        <f>IF(COUNTIFS('Gastos e Ingresos 2027'!$A:$A, "&gt;="&amp;DATE(2027, 3, 1), 'Gastos e Ingresos 2027'!$A:$A, "&lt;"&amp;DATE(2027, 4, 1))&gt;0, SUMIFS('Gastos e Ingresos 2027'!$E:$E, 'Gastos e Ingresos 2027'!$D:$D, "Gasto", 'Gastos e Ingresos 2027'!$C:$C, K$2, 'Gastos e Ingresos 2027'!$A:$A, "&gt;="&amp;DATE(2027, 3, 1), 'Gastos e Ingresos 2027'!$A:$A, "&lt;"&amp;DATE(2027, 4, 1)), "")</f>
        <v/>
      </c>
      <c r="L5" s="78">
        <f>IF(COUNTIFS('Gastos e Ingresos 2027'!$A:$A, "&gt;="&amp;DATE(2027, 3, 1), 'Gastos e Ingresos 2027'!$A:$A, "&lt;"&amp;DATE(2027, 4, 1))&gt;0, SUMIFS('Gastos e Ingresos 2027'!$E:$E, 'Gastos e Ingresos 2027'!$D:$D, "Gasto", 'Gastos e Ingresos 2027'!$C:$C, L$2, 'Gastos e Ingresos 2027'!$A:$A, "&gt;="&amp;DATE(2027, 3, 1), 'Gastos e Ingresos 2027'!$A:$A, "&lt;"&amp;DATE(2027, 4, 1)), "")</f>
        <v/>
      </c>
      <c r="M5" s="78">
        <f>IF(COUNTIFS('Gastos e Ingresos 2027'!$A:$A, "&gt;="&amp;DATE(2027, 3, 1), 'Gastos e Ingresos 2027'!$A:$A, "&lt;"&amp;DATE(2027, 4, 1))&gt;0, SUMIFS('Gastos e Ingresos 2027'!$E:$E, 'Gastos e Ingresos 2027'!$D:$D, "Gasto", 'Gastos e Ingresos 2027'!$C:$C, M$2, 'Gastos e Ingresos 2027'!$A:$A, "&gt;="&amp;DATE(2027, 3, 1), 'Gastos e Ingresos 2027'!$A:$A, "&lt;"&amp;DATE(2027, 4, 1)), "")</f>
        <v/>
      </c>
      <c r="N5" s="78">
        <f>IF(COUNTIFS('Gastos e Ingresos 2027'!$A:$A, "&gt;="&amp;DATE(2027, 3, 1), 'Gastos e Ingresos 2027'!$A:$A, "&lt;"&amp;DATE(2027, 4, 1))&gt;0, SUMIFS('Gastos e Ingresos 2027'!$E:$E, 'Gastos e Ingresos 2027'!$D:$D, "Gasto", 'Gastos e Ingresos 2027'!$C:$C, N$2, 'Gastos e Ingresos 2027'!$A:$A, "&gt;="&amp;DATE(2027, 3, 1), 'Gastos e Ingresos 2027'!$A:$A, "&lt;"&amp;DATE(2027, 4, 1)), "")</f>
        <v/>
      </c>
      <c r="O5" s="78">
        <f>IF(COUNTIFS('Gastos e Ingresos 2027'!$A:$A, "&gt;="&amp;DATE(2027, 3, 1), 'Gastos e Ingresos 2027'!$A:$A, "&lt;"&amp;DATE(2027, 4, 1))&gt;0, SUMIFS('Gastos e Ingresos 2027'!$E:$E, 'Gastos e Ingresos 2027'!$D:$D, "Gasto", 'Gastos e Ingresos 2027'!$C:$C, O$2, 'Gastos e Ingresos 2027'!$A:$A, "&gt;="&amp;DATE(2027, 3, 1), 'Gastos e Ingresos 2027'!$A:$A, "&lt;"&amp;DATE(2027, 4, 1)), "")</f>
        <v/>
      </c>
      <c r="P5" s="78">
        <f>IF(COUNTIFS('Gastos e Ingresos 2027'!$A:$A, "&gt;="&amp;DATE(2027, 3, 1), 'Gastos e Ingresos 2027'!$A:$A, "&lt;"&amp;DATE(2027, 4, 1))&gt;0, SUMIFS('Gastos e Ingresos 2027'!$E:$E, 'Gastos e Ingresos 2027'!$D:$D, "Gasto", 'Gastos e Ingresos 2027'!$C:$C, P$2, 'Gastos e Ingresos 2027'!$A:$A, "&gt;="&amp;DATE(2027, 3, 1), 'Gastos e Ingresos 2027'!$A:$A, "&lt;"&amp;DATE(2027, 4, 1)), "")</f>
        <v/>
      </c>
      <c r="Q5" s="78">
        <f>IF(COUNTIFS('Gastos e Ingresos 2027'!$A:$A, "&gt;="&amp;DATE(2027, 3, 1), 'Gastos e Ingresos 2027'!$A:$A, "&lt;"&amp;DATE(2027, 4, 1))&gt;0, SUMIFS('Gastos e Ingresos 2027'!$E:$E, 'Gastos e Ingresos 2027'!$D:$D, "Gasto", 'Gastos e Ingresos 2027'!$C:$C, Q$2, 'Gastos e Ingresos 2027'!$A:$A, "&gt;="&amp;DATE(2027, 3, 1), 'Gastos e Ingresos 2027'!$A:$A, "&lt;"&amp;DATE(2027, 4, 1)), "")</f>
        <v/>
      </c>
      <c r="R5" s="78">
        <f>IF(COUNTIFS('Gastos e Ingresos 2027'!$A:$A, "&gt;="&amp;DATE(2027, 3, 1), 'Gastos e Ingresos 2027'!$A:$A, "&lt;"&amp;DATE(2027, 4, 1))&gt;0, SUMIFS('Gastos e Ingresos 2027'!$E:$E, 'Gastos e Ingresos 2027'!$D:$D, "Gasto", 'Gastos e Ingresos 2027'!$C:$C, R$2, 'Gastos e Ingresos 2027'!$A:$A, "&gt;="&amp;DATE(2027, 3, 1), 'Gastos e Ingresos 2027'!$A:$A, "&lt;"&amp;DATE(2027, 4, 1)), "")</f>
        <v/>
      </c>
    </row>
    <row r="6" ht="24" customHeight="1" s="18">
      <c r="A6" s="97" t="inlineStr">
        <is>
          <t>Abril</t>
        </is>
      </c>
      <c r="B6" s="78">
        <f>IF(COUNTIFS('Gastos e Ingresos 2027'!$A:$A, "&gt;="&amp;DATE(2027, 4, 1), 'Gastos e Ingresos 2027'!$A:$A, "&lt;"&amp;DATE(2027, 5, 1))&gt;0, SUMIFS('Gastos e Ingresos 2027'!$E:$E, 'Gastos e Ingresos 2027'!$D:$D, "Ingreso", 'Gastos e Ingresos 2027'!$A:$A, "&gt;="&amp;DATE(2027, 4, 1), 'Gastos e Ingresos 2027'!$A:$A, "&lt;"&amp;DATE(2027, 5, 1)), "")</f>
        <v/>
      </c>
      <c r="C6" s="78">
        <f>IF(COUNTIFS('Gastos e Ingresos 2027'!$A:$A, "&gt;="&amp;DATE(2027, 4, 1), 'Gastos e Ingresos 2027'!$A:$A, "&lt;"&amp;DATE(2027, 5, 1))&gt;0, SUMIFS('Gastos e Ingresos 2027'!$E:$E, 'Gastos e Ingresos 2027'!$D:$D, "Gasto", 'Gastos e Ingresos 2027'!$A:$A, "&gt;="&amp;DATE(2027, 4, 1), 'Gastos e Ingresos 2027'!$A:$A, "&lt;"&amp;DATE(2027, 5, 1)), "")</f>
        <v/>
      </c>
      <c r="D6" s="83">
        <f>IF(B6="","",B6-C6)</f>
        <v/>
      </c>
      <c r="E6" s="98">
        <f>IF(B6="","",IF(B6&gt;0, D6/B6, 0))</f>
        <v/>
      </c>
      <c r="F6" s="75">
        <f>IF(COUNTIFS('Gastos e Ingresos 2027'!$A:$A, "&gt;="&amp;DATE(2027, 4, 1), 'Gastos e Ingresos 2027'!$A:$A, "&lt;"&amp;DATE(2027, 5, 1))&gt;0, SUMIFS('Gastos e Ingresos 2027'!$E:$E, 'Gastos e Ingresos 2027'!$D:$D, "Gasto", 'Gastos e Ingresos 2027'!$C:$C, F$2, 'Gastos e Ingresos 2027'!$A:$A, "&gt;="&amp;DATE(2027, 4, 1), 'Gastos e Ingresos 2027'!$A:$A, "&lt;"&amp;DATE(2027, 5, 1)), "")</f>
        <v/>
      </c>
      <c r="G6" s="75">
        <f>IF(COUNTIFS('Gastos e Ingresos 2027'!$A:$A, "&gt;="&amp;DATE(2027, 4, 1), 'Gastos e Ingresos 2027'!$A:$A, "&lt;"&amp;DATE(2027, 5, 1))&gt;0, SUMIFS('Gastos e Ingresos 2027'!$E:$E, 'Gastos e Ingresos 2027'!$D:$D, "Gasto", 'Gastos e Ingresos 2027'!$C:$C, G$2, 'Gastos e Ingresos 2027'!$A:$A, "&gt;="&amp;DATE(2027, 4, 1), 'Gastos e Ingresos 2027'!$A:$A, "&lt;"&amp;DATE(2027, 5, 1)), "")</f>
        <v/>
      </c>
      <c r="H6" s="75">
        <f>IF(COUNTIFS('Gastos e Ingresos 2027'!$A:$A, "&gt;="&amp;DATE(2027, 4, 1), 'Gastos e Ingresos 2027'!$A:$A, "&lt;"&amp;DATE(2027, 5, 1))&gt;0, SUMIFS('Gastos e Ingresos 2027'!$E:$E, 'Gastos e Ingresos 2027'!$D:$D, "Gasto", 'Gastos e Ingresos 2027'!$C:$C, H$2, 'Gastos e Ingresos 2027'!$A:$A, "&gt;="&amp;DATE(2027, 4, 1), 'Gastos e Ingresos 2027'!$A:$A, "&lt;"&amp;DATE(2027, 5, 1)), "")</f>
        <v/>
      </c>
      <c r="I6" s="75">
        <f>IF(COUNTIFS('Gastos e Ingresos 2027'!$A:$A, "&gt;="&amp;DATE(2027, 4, 1), 'Gastos e Ingresos 2027'!$A:$A, "&lt;"&amp;DATE(2027, 5, 1))&gt;0, SUMIFS('Gastos e Ingresos 2027'!$E:$E, 'Gastos e Ingresos 2027'!$D:$D, "Gasto", 'Gastos e Ingresos 2027'!$C:$C, I$2, 'Gastos e Ingresos 2027'!$A:$A, "&gt;="&amp;DATE(2027, 4, 1), 'Gastos e Ingresos 2027'!$A:$A, "&lt;"&amp;DATE(2027, 5, 1)), "")</f>
        <v/>
      </c>
      <c r="J6" s="75">
        <f>IF(COUNTIFS('Gastos e Ingresos 2027'!$A:$A, "&gt;="&amp;DATE(2027, 4, 1), 'Gastos e Ingresos 2027'!$A:$A, "&lt;"&amp;DATE(2027, 5, 1))&gt;0, SUMIFS('Gastos e Ingresos 2027'!$E:$E, 'Gastos e Ingresos 2027'!$D:$D, "Gasto", 'Gastos e Ingresos 2027'!$C:$C, J$2, 'Gastos e Ingresos 2027'!$A:$A, "&gt;="&amp;DATE(2027, 4, 1), 'Gastos e Ingresos 2027'!$A:$A, "&lt;"&amp;DATE(2027, 5, 1)), "")</f>
        <v/>
      </c>
      <c r="K6" s="75">
        <f>IF(COUNTIFS('Gastos e Ingresos 2027'!$A:$A, "&gt;="&amp;DATE(2027, 4, 1), 'Gastos e Ingresos 2027'!$A:$A, "&lt;"&amp;DATE(2027, 5, 1))&gt;0, SUMIFS('Gastos e Ingresos 2027'!$E:$E, 'Gastos e Ingresos 2027'!$D:$D, "Gasto", 'Gastos e Ingresos 2027'!$C:$C, K$2, 'Gastos e Ingresos 2027'!$A:$A, "&gt;="&amp;DATE(2027, 4, 1), 'Gastos e Ingresos 2027'!$A:$A, "&lt;"&amp;DATE(2027, 5, 1)), "")</f>
        <v/>
      </c>
      <c r="L6" s="75">
        <f>IF(COUNTIFS('Gastos e Ingresos 2027'!$A:$A, "&gt;="&amp;DATE(2027, 4, 1), 'Gastos e Ingresos 2027'!$A:$A, "&lt;"&amp;DATE(2027, 5, 1))&gt;0, SUMIFS('Gastos e Ingresos 2027'!$E:$E, 'Gastos e Ingresos 2027'!$D:$D, "Gasto", 'Gastos e Ingresos 2027'!$C:$C, L$2, 'Gastos e Ingresos 2027'!$A:$A, "&gt;="&amp;DATE(2027, 4, 1), 'Gastos e Ingresos 2027'!$A:$A, "&lt;"&amp;DATE(2027, 5, 1)), "")</f>
        <v/>
      </c>
      <c r="M6" s="75">
        <f>IF(COUNTIFS('Gastos e Ingresos 2027'!$A:$A, "&gt;="&amp;DATE(2027, 4, 1), 'Gastos e Ingresos 2027'!$A:$A, "&lt;"&amp;DATE(2027, 5, 1))&gt;0, SUMIFS('Gastos e Ingresos 2027'!$E:$E, 'Gastos e Ingresos 2027'!$D:$D, "Gasto", 'Gastos e Ingresos 2027'!$C:$C, M$2, 'Gastos e Ingresos 2027'!$A:$A, "&gt;="&amp;DATE(2027, 4, 1), 'Gastos e Ingresos 2027'!$A:$A, "&lt;"&amp;DATE(2027, 5, 1)), "")</f>
        <v/>
      </c>
      <c r="N6" s="75">
        <f>IF(COUNTIFS('Gastos e Ingresos 2027'!$A:$A, "&gt;="&amp;DATE(2027, 4, 1), 'Gastos e Ingresos 2027'!$A:$A, "&lt;"&amp;DATE(2027, 5, 1))&gt;0, SUMIFS('Gastos e Ingresos 2027'!$E:$E, 'Gastos e Ingresos 2027'!$D:$D, "Gasto", 'Gastos e Ingresos 2027'!$C:$C, N$2, 'Gastos e Ingresos 2027'!$A:$A, "&gt;="&amp;DATE(2027, 4, 1), 'Gastos e Ingresos 2027'!$A:$A, "&lt;"&amp;DATE(2027, 5, 1)), "")</f>
        <v/>
      </c>
      <c r="O6" s="75">
        <f>IF(COUNTIFS('Gastos e Ingresos 2027'!$A:$A, "&gt;="&amp;DATE(2027, 4, 1), 'Gastos e Ingresos 2027'!$A:$A, "&lt;"&amp;DATE(2027, 5, 1))&gt;0, SUMIFS('Gastos e Ingresos 2027'!$E:$E, 'Gastos e Ingresos 2027'!$D:$D, "Gasto", 'Gastos e Ingresos 2027'!$C:$C, O$2, 'Gastos e Ingresos 2027'!$A:$A, "&gt;="&amp;DATE(2027, 4, 1), 'Gastos e Ingresos 2027'!$A:$A, "&lt;"&amp;DATE(2027, 5, 1)), "")</f>
        <v/>
      </c>
      <c r="P6" s="75">
        <f>IF(COUNTIFS('Gastos e Ingresos 2027'!$A:$A, "&gt;="&amp;DATE(2027, 4, 1), 'Gastos e Ingresos 2027'!$A:$A, "&lt;"&amp;DATE(2027, 5, 1))&gt;0, SUMIFS('Gastos e Ingresos 2027'!$E:$E, 'Gastos e Ingresos 2027'!$D:$D, "Gasto", 'Gastos e Ingresos 2027'!$C:$C, P$2, 'Gastos e Ingresos 2027'!$A:$A, "&gt;="&amp;DATE(2027, 4, 1), 'Gastos e Ingresos 2027'!$A:$A, "&lt;"&amp;DATE(2027, 5, 1)), "")</f>
        <v/>
      </c>
      <c r="Q6" s="75">
        <f>IF(COUNTIFS('Gastos e Ingresos 2027'!$A:$A, "&gt;="&amp;DATE(2027, 4, 1), 'Gastos e Ingresos 2027'!$A:$A, "&lt;"&amp;DATE(2027, 5, 1))&gt;0, SUMIFS('Gastos e Ingresos 2027'!$E:$E, 'Gastos e Ingresos 2027'!$D:$D, "Gasto", 'Gastos e Ingresos 2027'!$C:$C, Q$2, 'Gastos e Ingresos 2027'!$A:$A, "&gt;="&amp;DATE(2027, 4, 1), 'Gastos e Ingresos 2027'!$A:$A, "&lt;"&amp;DATE(2027, 5, 1)), "")</f>
        <v/>
      </c>
      <c r="R6" s="75">
        <f>IF(COUNTIFS('Gastos e Ingresos 2027'!$A:$A, "&gt;="&amp;DATE(2027, 4, 1), 'Gastos e Ingresos 2027'!$A:$A, "&lt;"&amp;DATE(2027, 5, 1))&gt;0, SUMIFS('Gastos e Ingresos 2027'!$E:$E, 'Gastos e Ingresos 2027'!$D:$D, "Gasto", 'Gastos e Ingresos 2027'!$C:$C, R$2, 'Gastos e Ingresos 2027'!$A:$A, "&gt;="&amp;DATE(2027, 4, 1), 'Gastos e Ingresos 2027'!$A:$A, "&lt;"&amp;DATE(2027, 5, 1)), "")</f>
        <v/>
      </c>
    </row>
    <row r="7" ht="24" customHeight="1" s="18">
      <c r="A7" s="97" t="inlineStr">
        <is>
          <t>Mayo</t>
        </is>
      </c>
      <c r="B7" s="78">
        <f>IF(COUNTIFS('Gastos e Ingresos 2027'!$A:$A, "&gt;="&amp;DATE(2027, 5, 1), 'Gastos e Ingresos 2027'!$A:$A, "&lt;"&amp;DATE(2027, 6, 1))&gt;0, SUMIFS('Gastos e Ingresos 2027'!$E:$E, 'Gastos e Ingresos 2027'!$D:$D, "Ingreso", 'Gastos e Ingresos 2027'!$A:$A, "&gt;="&amp;DATE(2027, 5, 1), 'Gastos e Ingresos 2027'!$A:$A, "&lt;"&amp;DATE(2027, 6, 1)), "")</f>
        <v/>
      </c>
      <c r="C7" s="78">
        <f>IF(COUNTIFS('Gastos e Ingresos 2027'!$A:$A, "&gt;="&amp;DATE(2027, 5, 1), 'Gastos e Ingresos 2027'!$A:$A, "&lt;"&amp;DATE(2027, 6, 1))&gt;0, SUMIFS('Gastos e Ingresos 2027'!$E:$E, 'Gastos e Ingresos 2027'!$D:$D, "Gasto", 'Gastos e Ingresos 2027'!$A:$A, "&gt;="&amp;DATE(2027, 5, 1), 'Gastos e Ingresos 2027'!$A:$A, "&lt;"&amp;DATE(2027, 6, 1)), "")</f>
        <v/>
      </c>
      <c r="D7" s="83">
        <f>IF(B7="","",B7-C7)</f>
        <v/>
      </c>
      <c r="E7" s="98">
        <f>IF(B7="","",IF(B7&gt;0, D7/B7, 0))</f>
        <v/>
      </c>
      <c r="F7" s="78">
        <f>IF(COUNTIFS('Gastos e Ingresos 2027'!$A:$A, "&gt;="&amp;DATE(2027, 5, 1), 'Gastos e Ingresos 2027'!$A:$A, "&lt;"&amp;DATE(2027, 6, 1))&gt;0, SUMIFS('Gastos e Ingresos 2027'!$E:$E, 'Gastos e Ingresos 2027'!$D:$D, "Gasto", 'Gastos e Ingresos 2027'!$C:$C, F$2, 'Gastos e Ingresos 2027'!$A:$A, "&gt;="&amp;DATE(2027, 5, 1), 'Gastos e Ingresos 2027'!$A:$A, "&lt;"&amp;DATE(2027, 6, 1)), "")</f>
        <v/>
      </c>
      <c r="G7" s="78">
        <f>IF(COUNTIFS('Gastos e Ingresos 2027'!$A:$A, "&gt;="&amp;DATE(2027, 5, 1), 'Gastos e Ingresos 2027'!$A:$A, "&lt;"&amp;DATE(2027, 6, 1))&gt;0, SUMIFS('Gastos e Ingresos 2027'!$E:$E, 'Gastos e Ingresos 2027'!$D:$D, "Gasto", 'Gastos e Ingresos 2027'!$C:$C, G$2, 'Gastos e Ingresos 2027'!$A:$A, "&gt;="&amp;DATE(2027, 5, 1), 'Gastos e Ingresos 2027'!$A:$A, "&lt;"&amp;DATE(2027, 6, 1)), "")</f>
        <v/>
      </c>
      <c r="H7" s="78">
        <f>IF(COUNTIFS('Gastos e Ingresos 2027'!$A:$A, "&gt;="&amp;DATE(2027, 5, 1), 'Gastos e Ingresos 2027'!$A:$A, "&lt;"&amp;DATE(2027, 6, 1))&gt;0, SUMIFS('Gastos e Ingresos 2027'!$E:$E, 'Gastos e Ingresos 2027'!$D:$D, "Gasto", 'Gastos e Ingresos 2027'!$C:$C, H$2, 'Gastos e Ingresos 2027'!$A:$A, "&gt;="&amp;DATE(2027, 5, 1), 'Gastos e Ingresos 2027'!$A:$A, "&lt;"&amp;DATE(2027, 6, 1)), "")</f>
        <v/>
      </c>
      <c r="I7" s="78">
        <f>IF(COUNTIFS('Gastos e Ingresos 2027'!$A:$A, "&gt;="&amp;DATE(2027, 5, 1), 'Gastos e Ingresos 2027'!$A:$A, "&lt;"&amp;DATE(2027, 6, 1))&gt;0, SUMIFS('Gastos e Ingresos 2027'!$E:$E, 'Gastos e Ingresos 2027'!$D:$D, "Gasto", 'Gastos e Ingresos 2027'!$C:$C, I$2, 'Gastos e Ingresos 2027'!$A:$A, "&gt;="&amp;DATE(2027, 5, 1), 'Gastos e Ingresos 2027'!$A:$A, "&lt;"&amp;DATE(2027, 6, 1)), "")</f>
        <v/>
      </c>
      <c r="J7" s="78">
        <f>IF(COUNTIFS('Gastos e Ingresos 2027'!$A:$A, "&gt;="&amp;DATE(2027, 5, 1), 'Gastos e Ingresos 2027'!$A:$A, "&lt;"&amp;DATE(2027, 6, 1))&gt;0, SUMIFS('Gastos e Ingresos 2027'!$E:$E, 'Gastos e Ingresos 2027'!$D:$D, "Gasto", 'Gastos e Ingresos 2027'!$C:$C, J$2, 'Gastos e Ingresos 2027'!$A:$A, "&gt;="&amp;DATE(2027, 5, 1), 'Gastos e Ingresos 2027'!$A:$A, "&lt;"&amp;DATE(2027, 6, 1)), "")</f>
        <v/>
      </c>
      <c r="K7" s="78">
        <f>IF(COUNTIFS('Gastos e Ingresos 2027'!$A:$A, "&gt;="&amp;DATE(2027, 5, 1), 'Gastos e Ingresos 2027'!$A:$A, "&lt;"&amp;DATE(2027, 6, 1))&gt;0, SUMIFS('Gastos e Ingresos 2027'!$E:$E, 'Gastos e Ingresos 2027'!$D:$D, "Gasto", 'Gastos e Ingresos 2027'!$C:$C, K$2, 'Gastos e Ingresos 2027'!$A:$A, "&gt;="&amp;DATE(2027, 5, 1), 'Gastos e Ingresos 2027'!$A:$A, "&lt;"&amp;DATE(2027, 6, 1)), "")</f>
        <v/>
      </c>
      <c r="L7" s="78">
        <f>IF(COUNTIFS('Gastos e Ingresos 2027'!$A:$A, "&gt;="&amp;DATE(2027, 5, 1), 'Gastos e Ingresos 2027'!$A:$A, "&lt;"&amp;DATE(2027, 6, 1))&gt;0, SUMIFS('Gastos e Ingresos 2027'!$E:$E, 'Gastos e Ingresos 2027'!$D:$D, "Gasto", 'Gastos e Ingresos 2027'!$C:$C, L$2, 'Gastos e Ingresos 2027'!$A:$A, "&gt;="&amp;DATE(2027, 5, 1), 'Gastos e Ingresos 2027'!$A:$A, "&lt;"&amp;DATE(2027, 6, 1)), "")</f>
        <v/>
      </c>
      <c r="M7" s="78">
        <f>IF(COUNTIFS('Gastos e Ingresos 2027'!$A:$A, "&gt;="&amp;DATE(2027, 5, 1), 'Gastos e Ingresos 2027'!$A:$A, "&lt;"&amp;DATE(2027, 6, 1))&gt;0, SUMIFS('Gastos e Ingresos 2027'!$E:$E, 'Gastos e Ingresos 2027'!$D:$D, "Gasto", 'Gastos e Ingresos 2027'!$C:$C, M$2, 'Gastos e Ingresos 2027'!$A:$A, "&gt;="&amp;DATE(2027, 5, 1), 'Gastos e Ingresos 2027'!$A:$A, "&lt;"&amp;DATE(2027, 6, 1)), "")</f>
        <v/>
      </c>
      <c r="N7" s="78">
        <f>IF(COUNTIFS('Gastos e Ingresos 2027'!$A:$A, "&gt;="&amp;DATE(2027, 5, 1), 'Gastos e Ingresos 2027'!$A:$A, "&lt;"&amp;DATE(2027, 6, 1))&gt;0, SUMIFS('Gastos e Ingresos 2027'!$E:$E, 'Gastos e Ingresos 2027'!$D:$D, "Gasto", 'Gastos e Ingresos 2027'!$C:$C, N$2, 'Gastos e Ingresos 2027'!$A:$A, "&gt;="&amp;DATE(2027, 5, 1), 'Gastos e Ingresos 2027'!$A:$A, "&lt;"&amp;DATE(2027, 6, 1)), "")</f>
        <v/>
      </c>
      <c r="O7" s="78">
        <f>IF(COUNTIFS('Gastos e Ingresos 2027'!$A:$A, "&gt;="&amp;DATE(2027, 5, 1), 'Gastos e Ingresos 2027'!$A:$A, "&lt;"&amp;DATE(2027, 6, 1))&gt;0, SUMIFS('Gastos e Ingresos 2027'!$E:$E, 'Gastos e Ingresos 2027'!$D:$D, "Gasto", 'Gastos e Ingresos 2027'!$C:$C, O$2, 'Gastos e Ingresos 2027'!$A:$A, "&gt;="&amp;DATE(2027, 5, 1), 'Gastos e Ingresos 2027'!$A:$A, "&lt;"&amp;DATE(2027, 6, 1)), "")</f>
        <v/>
      </c>
      <c r="P7" s="78">
        <f>IF(COUNTIFS('Gastos e Ingresos 2027'!$A:$A, "&gt;="&amp;DATE(2027, 5, 1), 'Gastos e Ingresos 2027'!$A:$A, "&lt;"&amp;DATE(2027, 6, 1))&gt;0, SUMIFS('Gastos e Ingresos 2027'!$E:$E, 'Gastos e Ingresos 2027'!$D:$D, "Gasto", 'Gastos e Ingresos 2027'!$C:$C, P$2, 'Gastos e Ingresos 2027'!$A:$A, "&gt;="&amp;DATE(2027, 5, 1), 'Gastos e Ingresos 2027'!$A:$A, "&lt;"&amp;DATE(2027, 6, 1)), "")</f>
        <v/>
      </c>
      <c r="Q7" s="78">
        <f>IF(COUNTIFS('Gastos e Ingresos 2027'!$A:$A, "&gt;="&amp;DATE(2027, 5, 1), 'Gastos e Ingresos 2027'!$A:$A, "&lt;"&amp;DATE(2027, 6, 1))&gt;0, SUMIFS('Gastos e Ingresos 2027'!$E:$E, 'Gastos e Ingresos 2027'!$D:$D, "Gasto", 'Gastos e Ingresos 2027'!$C:$C, Q$2, 'Gastos e Ingresos 2027'!$A:$A, "&gt;="&amp;DATE(2027, 5, 1), 'Gastos e Ingresos 2027'!$A:$A, "&lt;"&amp;DATE(2027, 6, 1)), "")</f>
        <v/>
      </c>
      <c r="R7" s="78">
        <f>IF(COUNTIFS('Gastos e Ingresos 2027'!$A:$A, "&gt;="&amp;DATE(2027, 5, 1), 'Gastos e Ingresos 2027'!$A:$A, "&lt;"&amp;DATE(2027, 6, 1))&gt;0, SUMIFS('Gastos e Ingresos 2027'!$E:$E, 'Gastos e Ingresos 2027'!$D:$D, "Gasto", 'Gastos e Ingresos 2027'!$C:$C, R$2, 'Gastos e Ingresos 2027'!$A:$A, "&gt;="&amp;DATE(2027, 5, 1), 'Gastos e Ingresos 2027'!$A:$A, "&lt;"&amp;DATE(2027, 6, 1)), "")</f>
        <v/>
      </c>
    </row>
    <row r="8" ht="24" customHeight="1" s="18">
      <c r="A8" s="97" t="inlineStr">
        <is>
          <t>Junio</t>
        </is>
      </c>
      <c r="B8" s="78">
        <f>IF(COUNTIFS('Gastos e Ingresos 2027'!$A:$A, "&gt;="&amp;DATE(2027, 6, 1), 'Gastos e Ingresos 2027'!$A:$A, "&lt;"&amp;DATE(2027, 7, 1))&gt;0, SUMIFS('Gastos e Ingresos 2027'!$E:$E, 'Gastos e Ingresos 2027'!$D:$D, "Ingreso", 'Gastos e Ingresos 2027'!$A:$A, "&gt;="&amp;DATE(2027, 6, 1), 'Gastos e Ingresos 2027'!$A:$A, "&lt;"&amp;DATE(2027, 7, 1)), "")</f>
        <v/>
      </c>
      <c r="C8" s="78">
        <f>IF(COUNTIFS('Gastos e Ingresos 2027'!$A:$A, "&gt;="&amp;DATE(2027, 6, 1), 'Gastos e Ingresos 2027'!$A:$A, "&lt;"&amp;DATE(2027, 7, 1))&gt;0, SUMIFS('Gastos e Ingresos 2027'!$E:$E, 'Gastos e Ingresos 2027'!$D:$D, "Gasto", 'Gastos e Ingresos 2027'!$A:$A, "&gt;="&amp;DATE(2027, 6, 1), 'Gastos e Ingresos 2027'!$A:$A, "&lt;"&amp;DATE(2027, 7, 1)), "")</f>
        <v/>
      </c>
      <c r="D8" s="83">
        <f>IF(B8="","",B8-C8)</f>
        <v/>
      </c>
      <c r="E8" s="98">
        <f>IF(B8="","",IF(B8&gt;0, D8/B8, 0))</f>
        <v/>
      </c>
      <c r="F8" s="75">
        <f>IF(COUNTIFS('Gastos e Ingresos 2027'!$A:$A, "&gt;="&amp;DATE(2027, 6, 1), 'Gastos e Ingresos 2027'!$A:$A, "&lt;"&amp;DATE(2027, 7, 1))&gt;0, SUMIFS('Gastos e Ingresos 2027'!$E:$E, 'Gastos e Ingresos 2027'!$D:$D, "Gasto", 'Gastos e Ingresos 2027'!$C:$C, F$2, 'Gastos e Ingresos 2027'!$A:$A, "&gt;="&amp;DATE(2027, 6, 1), 'Gastos e Ingresos 2027'!$A:$A, "&lt;"&amp;DATE(2027, 7, 1)), "")</f>
        <v/>
      </c>
      <c r="G8" s="75">
        <f>IF(COUNTIFS('Gastos e Ingresos 2027'!$A:$A, "&gt;="&amp;DATE(2027, 6, 1), 'Gastos e Ingresos 2027'!$A:$A, "&lt;"&amp;DATE(2027, 7, 1))&gt;0, SUMIFS('Gastos e Ingresos 2027'!$E:$E, 'Gastos e Ingresos 2027'!$D:$D, "Gasto", 'Gastos e Ingresos 2027'!$C:$C, G$2, 'Gastos e Ingresos 2027'!$A:$A, "&gt;="&amp;DATE(2027, 6, 1), 'Gastos e Ingresos 2027'!$A:$A, "&lt;"&amp;DATE(2027, 7, 1)), "")</f>
        <v/>
      </c>
      <c r="H8" s="75">
        <f>IF(COUNTIFS('Gastos e Ingresos 2027'!$A:$A, "&gt;="&amp;DATE(2027, 6, 1), 'Gastos e Ingresos 2027'!$A:$A, "&lt;"&amp;DATE(2027, 7, 1))&gt;0, SUMIFS('Gastos e Ingresos 2027'!$E:$E, 'Gastos e Ingresos 2027'!$D:$D, "Gasto", 'Gastos e Ingresos 2027'!$C:$C, H$2, 'Gastos e Ingresos 2027'!$A:$A, "&gt;="&amp;DATE(2027, 6, 1), 'Gastos e Ingresos 2027'!$A:$A, "&lt;"&amp;DATE(2027, 7, 1)), "")</f>
        <v/>
      </c>
      <c r="I8" s="75">
        <f>IF(COUNTIFS('Gastos e Ingresos 2027'!$A:$A, "&gt;="&amp;DATE(2027, 6, 1), 'Gastos e Ingresos 2027'!$A:$A, "&lt;"&amp;DATE(2027, 7, 1))&gt;0, SUMIFS('Gastos e Ingresos 2027'!$E:$E, 'Gastos e Ingresos 2027'!$D:$D, "Gasto", 'Gastos e Ingresos 2027'!$C:$C, I$2, 'Gastos e Ingresos 2027'!$A:$A, "&gt;="&amp;DATE(2027, 6, 1), 'Gastos e Ingresos 2027'!$A:$A, "&lt;"&amp;DATE(2027, 7, 1)), "")</f>
        <v/>
      </c>
      <c r="J8" s="75">
        <f>IF(COUNTIFS('Gastos e Ingresos 2027'!$A:$A, "&gt;="&amp;DATE(2027, 6, 1), 'Gastos e Ingresos 2027'!$A:$A, "&lt;"&amp;DATE(2027, 7, 1))&gt;0, SUMIFS('Gastos e Ingresos 2027'!$E:$E, 'Gastos e Ingresos 2027'!$D:$D, "Gasto", 'Gastos e Ingresos 2027'!$C:$C, J$2, 'Gastos e Ingresos 2027'!$A:$A, "&gt;="&amp;DATE(2027, 6, 1), 'Gastos e Ingresos 2027'!$A:$A, "&lt;"&amp;DATE(2027, 7, 1)), "")</f>
        <v/>
      </c>
      <c r="K8" s="75">
        <f>IF(COUNTIFS('Gastos e Ingresos 2027'!$A:$A, "&gt;="&amp;DATE(2027, 6, 1), 'Gastos e Ingresos 2027'!$A:$A, "&lt;"&amp;DATE(2027, 7, 1))&gt;0, SUMIFS('Gastos e Ingresos 2027'!$E:$E, 'Gastos e Ingresos 2027'!$D:$D, "Gasto", 'Gastos e Ingresos 2027'!$C:$C, K$2, 'Gastos e Ingresos 2027'!$A:$A, "&gt;="&amp;DATE(2027, 6, 1), 'Gastos e Ingresos 2027'!$A:$A, "&lt;"&amp;DATE(2027, 7, 1)), "")</f>
        <v/>
      </c>
      <c r="L8" s="75">
        <f>IF(COUNTIFS('Gastos e Ingresos 2027'!$A:$A, "&gt;="&amp;DATE(2027, 6, 1), 'Gastos e Ingresos 2027'!$A:$A, "&lt;"&amp;DATE(2027, 7, 1))&gt;0, SUMIFS('Gastos e Ingresos 2027'!$E:$E, 'Gastos e Ingresos 2027'!$D:$D, "Gasto", 'Gastos e Ingresos 2027'!$C:$C, L$2, 'Gastos e Ingresos 2027'!$A:$A, "&gt;="&amp;DATE(2027, 6, 1), 'Gastos e Ingresos 2027'!$A:$A, "&lt;"&amp;DATE(2027, 7, 1)), "")</f>
        <v/>
      </c>
      <c r="M8" s="75">
        <f>IF(COUNTIFS('Gastos e Ingresos 2027'!$A:$A, "&gt;="&amp;DATE(2027, 6, 1), 'Gastos e Ingresos 2027'!$A:$A, "&lt;"&amp;DATE(2027, 7, 1))&gt;0, SUMIFS('Gastos e Ingresos 2027'!$E:$E, 'Gastos e Ingresos 2027'!$D:$D, "Gasto", 'Gastos e Ingresos 2027'!$C:$C, M$2, 'Gastos e Ingresos 2027'!$A:$A, "&gt;="&amp;DATE(2027, 6, 1), 'Gastos e Ingresos 2027'!$A:$A, "&lt;"&amp;DATE(2027, 7, 1)), "")</f>
        <v/>
      </c>
      <c r="N8" s="75">
        <f>IF(COUNTIFS('Gastos e Ingresos 2027'!$A:$A, "&gt;="&amp;DATE(2027, 6, 1), 'Gastos e Ingresos 2027'!$A:$A, "&lt;"&amp;DATE(2027, 7, 1))&gt;0, SUMIFS('Gastos e Ingresos 2027'!$E:$E, 'Gastos e Ingresos 2027'!$D:$D, "Gasto", 'Gastos e Ingresos 2027'!$C:$C, N$2, 'Gastos e Ingresos 2027'!$A:$A, "&gt;="&amp;DATE(2027, 6, 1), 'Gastos e Ingresos 2027'!$A:$A, "&lt;"&amp;DATE(2027, 7, 1)), "")</f>
        <v/>
      </c>
      <c r="O8" s="75">
        <f>IF(COUNTIFS('Gastos e Ingresos 2027'!$A:$A, "&gt;="&amp;DATE(2027, 6, 1), 'Gastos e Ingresos 2027'!$A:$A, "&lt;"&amp;DATE(2027, 7, 1))&gt;0, SUMIFS('Gastos e Ingresos 2027'!$E:$E, 'Gastos e Ingresos 2027'!$D:$D, "Gasto", 'Gastos e Ingresos 2027'!$C:$C, O$2, 'Gastos e Ingresos 2027'!$A:$A, "&gt;="&amp;DATE(2027, 6, 1), 'Gastos e Ingresos 2027'!$A:$A, "&lt;"&amp;DATE(2027, 7, 1)), "")</f>
        <v/>
      </c>
      <c r="P8" s="75">
        <f>IF(COUNTIFS('Gastos e Ingresos 2027'!$A:$A, "&gt;="&amp;DATE(2027, 6, 1), 'Gastos e Ingresos 2027'!$A:$A, "&lt;"&amp;DATE(2027, 7, 1))&gt;0, SUMIFS('Gastos e Ingresos 2027'!$E:$E, 'Gastos e Ingresos 2027'!$D:$D, "Gasto", 'Gastos e Ingresos 2027'!$C:$C, P$2, 'Gastos e Ingresos 2027'!$A:$A, "&gt;="&amp;DATE(2027, 6, 1), 'Gastos e Ingresos 2027'!$A:$A, "&lt;"&amp;DATE(2027, 7, 1)), "")</f>
        <v/>
      </c>
      <c r="Q8" s="75">
        <f>IF(COUNTIFS('Gastos e Ingresos 2027'!$A:$A, "&gt;="&amp;DATE(2027, 6, 1), 'Gastos e Ingresos 2027'!$A:$A, "&lt;"&amp;DATE(2027, 7, 1))&gt;0, SUMIFS('Gastos e Ingresos 2027'!$E:$E, 'Gastos e Ingresos 2027'!$D:$D, "Gasto", 'Gastos e Ingresos 2027'!$C:$C, Q$2, 'Gastos e Ingresos 2027'!$A:$A, "&gt;="&amp;DATE(2027, 6, 1), 'Gastos e Ingresos 2027'!$A:$A, "&lt;"&amp;DATE(2027, 7, 1)), "")</f>
        <v/>
      </c>
      <c r="R8" s="75">
        <f>IF(COUNTIFS('Gastos e Ingresos 2027'!$A:$A, "&gt;="&amp;DATE(2027, 6, 1), 'Gastos e Ingresos 2027'!$A:$A, "&lt;"&amp;DATE(2027, 7, 1))&gt;0, SUMIFS('Gastos e Ingresos 2027'!$E:$E, 'Gastos e Ingresos 2027'!$D:$D, "Gasto", 'Gastos e Ingresos 2027'!$C:$C, R$2, 'Gastos e Ingresos 2027'!$A:$A, "&gt;="&amp;DATE(2027, 6, 1), 'Gastos e Ingresos 2027'!$A:$A, "&lt;"&amp;DATE(2027, 7, 1)), "")</f>
        <v/>
      </c>
    </row>
    <row r="9" ht="24" customHeight="1" s="18">
      <c r="A9" s="97" t="inlineStr">
        <is>
          <t>Julio</t>
        </is>
      </c>
      <c r="B9" s="78">
        <f>IF(COUNTIFS('Gastos e Ingresos 2027'!$A:$A, "&gt;="&amp;DATE(2027, 7, 1), 'Gastos e Ingresos 2027'!$A:$A, "&lt;"&amp;DATE(2027, 8, 1))&gt;0, SUMIFS('Gastos e Ingresos 2027'!$E:$E, 'Gastos e Ingresos 2027'!$D:$D, "Ingreso", 'Gastos e Ingresos 2027'!$A:$A, "&gt;="&amp;DATE(2027, 7, 1), 'Gastos e Ingresos 2027'!$A:$A, "&lt;"&amp;DATE(2027, 8, 1)), "")</f>
        <v/>
      </c>
      <c r="C9" s="78">
        <f>IF(COUNTIFS('Gastos e Ingresos 2027'!$A:$A, "&gt;="&amp;DATE(2027, 7, 1), 'Gastos e Ingresos 2027'!$A:$A, "&lt;"&amp;DATE(2027, 8, 1))&gt;0, SUMIFS('Gastos e Ingresos 2027'!$E:$E, 'Gastos e Ingresos 2027'!$D:$D, "Gasto", 'Gastos e Ingresos 2027'!$A:$A, "&gt;="&amp;DATE(2027, 7, 1), 'Gastos e Ingresos 2027'!$A:$A, "&lt;"&amp;DATE(2027, 8, 1)), "")</f>
        <v/>
      </c>
      <c r="D9" s="83">
        <f>IF(B9="","",B9-C9)</f>
        <v/>
      </c>
      <c r="E9" s="98">
        <f>IF(B9="","",IF(B9&gt;0, D9/B9, 0))</f>
        <v/>
      </c>
      <c r="F9" s="78">
        <f>IF(COUNTIFS('Gastos e Ingresos 2027'!$A:$A, "&gt;="&amp;DATE(2027, 7, 1), 'Gastos e Ingresos 2027'!$A:$A, "&lt;"&amp;DATE(2027, 8, 1))&gt;0, SUMIFS('Gastos e Ingresos 2027'!$E:$E, 'Gastos e Ingresos 2027'!$D:$D, "Gasto", 'Gastos e Ingresos 2027'!$C:$C, F$2, 'Gastos e Ingresos 2027'!$A:$A, "&gt;="&amp;DATE(2027, 7, 1), 'Gastos e Ingresos 2027'!$A:$A, "&lt;"&amp;DATE(2027, 8, 1)), "")</f>
        <v/>
      </c>
      <c r="G9" s="78">
        <f>IF(COUNTIFS('Gastos e Ingresos 2027'!$A:$A, "&gt;="&amp;DATE(2027, 7, 1), 'Gastos e Ingresos 2027'!$A:$A, "&lt;"&amp;DATE(2027, 8, 1))&gt;0, SUMIFS('Gastos e Ingresos 2027'!$E:$E, 'Gastos e Ingresos 2027'!$D:$D, "Gasto", 'Gastos e Ingresos 2027'!$C:$C, G$2, 'Gastos e Ingresos 2027'!$A:$A, "&gt;="&amp;DATE(2027, 7, 1), 'Gastos e Ingresos 2027'!$A:$A, "&lt;"&amp;DATE(2027, 8, 1)), "")</f>
        <v/>
      </c>
      <c r="H9" s="78">
        <f>IF(COUNTIFS('Gastos e Ingresos 2027'!$A:$A, "&gt;="&amp;DATE(2027, 7, 1), 'Gastos e Ingresos 2027'!$A:$A, "&lt;"&amp;DATE(2027, 8, 1))&gt;0, SUMIFS('Gastos e Ingresos 2027'!$E:$E, 'Gastos e Ingresos 2027'!$D:$D, "Gasto", 'Gastos e Ingresos 2027'!$C:$C, H$2, 'Gastos e Ingresos 2027'!$A:$A, "&gt;="&amp;DATE(2027, 7, 1), 'Gastos e Ingresos 2027'!$A:$A, "&lt;"&amp;DATE(2027, 8, 1)), "")</f>
        <v/>
      </c>
      <c r="I9" s="78">
        <f>IF(COUNTIFS('Gastos e Ingresos 2027'!$A:$A, "&gt;="&amp;DATE(2027, 7, 1), 'Gastos e Ingresos 2027'!$A:$A, "&lt;"&amp;DATE(2027, 8, 1))&gt;0, SUMIFS('Gastos e Ingresos 2027'!$E:$E, 'Gastos e Ingresos 2027'!$D:$D, "Gasto", 'Gastos e Ingresos 2027'!$C:$C, I$2, 'Gastos e Ingresos 2027'!$A:$A, "&gt;="&amp;DATE(2027, 7, 1), 'Gastos e Ingresos 2027'!$A:$A, "&lt;"&amp;DATE(2027, 8, 1)), "")</f>
        <v/>
      </c>
      <c r="J9" s="78">
        <f>IF(COUNTIFS('Gastos e Ingresos 2027'!$A:$A, "&gt;="&amp;DATE(2027, 7, 1), 'Gastos e Ingresos 2027'!$A:$A, "&lt;"&amp;DATE(2027, 8, 1))&gt;0, SUMIFS('Gastos e Ingresos 2027'!$E:$E, 'Gastos e Ingresos 2027'!$D:$D, "Gasto", 'Gastos e Ingresos 2027'!$C:$C, J$2, 'Gastos e Ingresos 2027'!$A:$A, "&gt;="&amp;DATE(2027, 7, 1), 'Gastos e Ingresos 2027'!$A:$A, "&lt;"&amp;DATE(2027, 8, 1)), "")</f>
        <v/>
      </c>
      <c r="K9" s="78">
        <f>IF(COUNTIFS('Gastos e Ingresos 2027'!$A:$A, "&gt;="&amp;DATE(2027, 7, 1), 'Gastos e Ingresos 2027'!$A:$A, "&lt;"&amp;DATE(2027, 8, 1))&gt;0, SUMIFS('Gastos e Ingresos 2027'!$E:$E, 'Gastos e Ingresos 2027'!$D:$D, "Gasto", 'Gastos e Ingresos 2027'!$C:$C, K$2, 'Gastos e Ingresos 2027'!$A:$A, "&gt;="&amp;DATE(2027, 7, 1), 'Gastos e Ingresos 2027'!$A:$A, "&lt;"&amp;DATE(2027, 8, 1)), "")</f>
        <v/>
      </c>
      <c r="L9" s="78">
        <f>IF(COUNTIFS('Gastos e Ingresos 2027'!$A:$A, "&gt;="&amp;DATE(2027, 7, 1), 'Gastos e Ingresos 2027'!$A:$A, "&lt;"&amp;DATE(2027, 8, 1))&gt;0, SUMIFS('Gastos e Ingresos 2027'!$E:$E, 'Gastos e Ingresos 2027'!$D:$D, "Gasto", 'Gastos e Ingresos 2027'!$C:$C, L$2, 'Gastos e Ingresos 2027'!$A:$A, "&gt;="&amp;DATE(2027, 7, 1), 'Gastos e Ingresos 2027'!$A:$A, "&lt;"&amp;DATE(2027, 8, 1)), "")</f>
        <v/>
      </c>
      <c r="M9" s="78">
        <f>IF(COUNTIFS('Gastos e Ingresos 2027'!$A:$A, "&gt;="&amp;DATE(2027, 7, 1), 'Gastos e Ingresos 2027'!$A:$A, "&lt;"&amp;DATE(2027, 8, 1))&gt;0, SUMIFS('Gastos e Ingresos 2027'!$E:$E, 'Gastos e Ingresos 2027'!$D:$D, "Gasto", 'Gastos e Ingresos 2027'!$C:$C, M$2, 'Gastos e Ingresos 2027'!$A:$A, "&gt;="&amp;DATE(2027, 7, 1), 'Gastos e Ingresos 2027'!$A:$A, "&lt;"&amp;DATE(2027, 8, 1)), "")</f>
        <v/>
      </c>
      <c r="N9" s="78">
        <f>IF(COUNTIFS('Gastos e Ingresos 2027'!$A:$A, "&gt;="&amp;DATE(2027, 7, 1), 'Gastos e Ingresos 2027'!$A:$A, "&lt;"&amp;DATE(2027, 8, 1))&gt;0, SUMIFS('Gastos e Ingresos 2027'!$E:$E, 'Gastos e Ingresos 2027'!$D:$D, "Gasto", 'Gastos e Ingresos 2027'!$C:$C, N$2, 'Gastos e Ingresos 2027'!$A:$A, "&gt;="&amp;DATE(2027, 7, 1), 'Gastos e Ingresos 2027'!$A:$A, "&lt;"&amp;DATE(2027, 8, 1)), "")</f>
        <v/>
      </c>
      <c r="O9" s="78">
        <f>IF(COUNTIFS('Gastos e Ingresos 2027'!$A:$A, "&gt;="&amp;DATE(2027, 7, 1), 'Gastos e Ingresos 2027'!$A:$A, "&lt;"&amp;DATE(2027, 8, 1))&gt;0, SUMIFS('Gastos e Ingresos 2027'!$E:$E, 'Gastos e Ingresos 2027'!$D:$D, "Gasto", 'Gastos e Ingresos 2027'!$C:$C, O$2, 'Gastos e Ingresos 2027'!$A:$A, "&gt;="&amp;DATE(2027, 7, 1), 'Gastos e Ingresos 2027'!$A:$A, "&lt;"&amp;DATE(2027, 8, 1)), "")</f>
        <v/>
      </c>
      <c r="P9" s="78">
        <f>IF(COUNTIFS('Gastos e Ingresos 2027'!$A:$A, "&gt;="&amp;DATE(2027, 7, 1), 'Gastos e Ingresos 2027'!$A:$A, "&lt;"&amp;DATE(2027, 8, 1))&gt;0, SUMIFS('Gastos e Ingresos 2027'!$E:$E, 'Gastos e Ingresos 2027'!$D:$D, "Gasto", 'Gastos e Ingresos 2027'!$C:$C, P$2, 'Gastos e Ingresos 2027'!$A:$A, "&gt;="&amp;DATE(2027, 7, 1), 'Gastos e Ingresos 2027'!$A:$A, "&lt;"&amp;DATE(2027, 8, 1)), "")</f>
        <v/>
      </c>
      <c r="Q9" s="78">
        <f>IF(COUNTIFS('Gastos e Ingresos 2027'!$A:$A, "&gt;="&amp;DATE(2027, 7, 1), 'Gastos e Ingresos 2027'!$A:$A, "&lt;"&amp;DATE(2027, 8, 1))&gt;0, SUMIFS('Gastos e Ingresos 2027'!$E:$E, 'Gastos e Ingresos 2027'!$D:$D, "Gasto", 'Gastos e Ingresos 2027'!$C:$C, Q$2, 'Gastos e Ingresos 2027'!$A:$A, "&gt;="&amp;DATE(2027, 7, 1), 'Gastos e Ingresos 2027'!$A:$A, "&lt;"&amp;DATE(2027, 8, 1)), "")</f>
        <v/>
      </c>
      <c r="R9" s="78">
        <f>IF(COUNTIFS('Gastos e Ingresos 2027'!$A:$A, "&gt;="&amp;DATE(2027, 7, 1), 'Gastos e Ingresos 2027'!$A:$A, "&lt;"&amp;DATE(2027, 8, 1))&gt;0, SUMIFS('Gastos e Ingresos 2027'!$E:$E, 'Gastos e Ingresos 2027'!$D:$D, "Gasto", 'Gastos e Ingresos 2027'!$C:$C, R$2, 'Gastos e Ingresos 2027'!$A:$A, "&gt;="&amp;DATE(2027, 7, 1), 'Gastos e Ingresos 2027'!$A:$A, "&lt;"&amp;DATE(2027, 8, 1)), "")</f>
        <v/>
      </c>
    </row>
    <row r="10" ht="24" customHeight="1" s="18">
      <c r="A10" s="97" t="inlineStr">
        <is>
          <t>Agosto</t>
        </is>
      </c>
      <c r="B10" s="78">
        <f>IF(COUNTIFS('Gastos e Ingresos 2027'!$A:$A, "&gt;="&amp;DATE(2027, 8, 1), 'Gastos e Ingresos 2027'!$A:$A, "&lt;"&amp;DATE(2027, 9, 1))&gt;0, SUMIFS('Gastos e Ingresos 2027'!$E:$E, 'Gastos e Ingresos 2027'!$D:$D, "Ingreso", 'Gastos e Ingresos 2027'!$A:$A, "&gt;="&amp;DATE(2027, 8, 1), 'Gastos e Ingresos 2027'!$A:$A, "&lt;"&amp;DATE(2027, 9, 1)), "")</f>
        <v/>
      </c>
      <c r="C10" s="78">
        <f>IF(COUNTIFS('Gastos e Ingresos 2027'!$A:$A, "&gt;="&amp;DATE(2027, 8, 1), 'Gastos e Ingresos 2027'!$A:$A, "&lt;"&amp;DATE(2027, 9, 1))&gt;0, SUMIFS('Gastos e Ingresos 2027'!$E:$E, 'Gastos e Ingresos 2027'!$D:$D, "Gasto", 'Gastos e Ingresos 2027'!$A:$A, "&gt;="&amp;DATE(2027, 8, 1), 'Gastos e Ingresos 2027'!$A:$A, "&lt;"&amp;DATE(2027, 9, 1)), "")</f>
        <v/>
      </c>
      <c r="D10" s="83">
        <f>IF(B10="","",B10-C10)</f>
        <v/>
      </c>
      <c r="E10" s="98">
        <f>IF(B10="","",IF(B10&gt;0, D10/B10, 0))</f>
        <v/>
      </c>
      <c r="F10" s="75">
        <f>IF(COUNTIFS('Gastos e Ingresos 2027'!$A:$A, "&gt;="&amp;DATE(2027, 8, 1), 'Gastos e Ingresos 2027'!$A:$A, "&lt;"&amp;DATE(2027, 9, 1))&gt;0, SUMIFS('Gastos e Ingresos 2027'!$E:$E, 'Gastos e Ingresos 2027'!$D:$D, "Gasto", 'Gastos e Ingresos 2027'!$C:$C, F$2, 'Gastos e Ingresos 2027'!$A:$A, "&gt;="&amp;DATE(2027, 8, 1), 'Gastos e Ingresos 2027'!$A:$A, "&lt;"&amp;DATE(2027, 9, 1)), "")</f>
        <v/>
      </c>
      <c r="G10" s="75">
        <f>IF(COUNTIFS('Gastos e Ingresos 2027'!$A:$A, "&gt;="&amp;DATE(2027, 8, 1), 'Gastos e Ingresos 2027'!$A:$A, "&lt;"&amp;DATE(2027, 9, 1))&gt;0, SUMIFS('Gastos e Ingresos 2027'!$E:$E, 'Gastos e Ingresos 2027'!$D:$D, "Gasto", 'Gastos e Ingresos 2027'!$C:$C, G$2, 'Gastos e Ingresos 2027'!$A:$A, "&gt;="&amp;DATE(2027, 8, 1), 'Gastos e Ingresos 2027'!$A:$A, "&lt;"&amp;DATE(2027, 9, 1)), "")</f>
        <v/>
      </c>
      <c r="H10" s="75">
        <f>IF(COUNTIFS('Gastos e Ingresos 2027'!$A:$A, "&gt;="&amp;DATE(2027, 8, 1), 'Gastos e Ingresos 2027'!$A:$A, "&lt;"&amp;DATE(2027, 9, 1))&gt;0, SUMIFS('Gastos e Ingresos 2027'!$E:$E, 'Gastos e Ingresos 2027'!$D:$D, "Gasto", 'Gastos e Ingresos 2027'!$C:$C, H$2, 'Gastos e Ingresos 2027'!$A:$A, "&gt;="&amp;DATE(2027, 8, 1), 'Gastos e Ingresos 2027'!$A:$A, "&lt;"&amp;DATE(2027, 9, 1)), "")</f>
        <v/>
      </c>
      <c r="I10" s="75">
        <f>IF(COUNTIFS('Gastos e Ingresos 2027'!$A:$A, "&gt;="&amp;DATE(2027, 8, 1), 'Gastos e Ingresos 2027'!$A:$A, "&lt;"&amp;DATE(2027, 9, 1))&gt;0, SUMIFS('Gastos e Ingresos 2027'!$E:$E, 'Gastos e Ingresos 2027'!$D:$D, "Gasto", 'Gastos e Ingresos 2027'!$C:$C, I$2, 'Gastos e Ingresos 2027'!$A:$A, "&gt;="&amp;DATE(2027, 8, 1), 'Gastos e Ingresos 2027'!$A:$A, "&lt;"&amp;DATE(2027, 9, 1)), "")</f>
        <v/>
      </c>
      <c r="J10" s="75">
        <f>IF(COUNTIFS('Gastos e Ingresos 2027'!$A:$A, "&gt;="&amp;DATE(2027, 8, 1), 'Gastos e Ingresos 2027'!$A:$A, "&lt;"&amp;DATE(2027, 9, 1))&gt;0, SUMIFS('Gastos e Ingresos 2027'!$E:$E, 'Gastos e Ingresos 2027'!$D:$D, "Gasto", 'Gastos e Ingresos 2027'!$C:$C, J$2, 'Gastos e Ingresos 2027'!$A:$A, "&gt;="&amp;DATE(2027, 8, 1), 'Gastos e Ingresos 2027'!$A:$A, "&lt;"&amp;DATE(2027, 9, 1)), "")</f>
        <v/>
      </c>
      <c r="K10" s="75">
        <f>IF(COUNTIFS('Gastos e Ingresos 2027'!$A:$A, "&gt;="&amp;DATE(2027, 8, 1), 'Gastos e Ingresos 2027'!$A:$A, "&lt;"&amp;DATE(2027, 9, 1))&gt;0, SUMIFS('Gastos e Ingresos 2027'!$E:$E, 'Gastos e Ingresos 2027'!$D:$D, "Gasto", 'Gastos e Ingresos 2027'!$C:$C, K$2, 'Gastos e Ingresos 2027'!$A:$A, "&gt;="&amp;DATE(2027, 8, 1), 'Gastos e Ingresos 2027'!$A:$A, "&lt;"&amp;DATE(2027, 9, 1)), "")</f>
        <v/>
      </c>
      <c r="L10" s="75">
        <f>IF(COUNTIFS('Gastos e Ingresos 2027'!$A:$A, "&gt;="&amp;DATE(2027, 8, 1), 'Gastos e Ingresos 2027'!$A:$A, "&lt;"&amp;DATE(2027, 9, 1))&gt;0, SUMIFS('Gastos e Ingresos 2027'!$E:$E, 'Gastos e Ingresos 2027'!$D:$D, "Gasto", 'Gastos e Ingresos 2027'!$C:$C, L$2, 'Gastos e Ingresos 2027'!$A:$A, "&gt;="&amp;DATE(2027, 8, 1), 'Gastos e Ingresos 2027'!$A:$A, "&lt;"&amp;DATE(2027, 9, 1)), "")</f>
        <v/>
      </c>
      <c r="M10" s="75">
        <f>IF(COUNTIFS('Gastos e Ingresos 2027'!$A:$A, "&gt;="&amp;DATE(2027, 8, 1), 'Gastos e Ingresos 2027'!$A:$A, "&lt;"&amp;DATE(2027, 9, 1))&gt;0, SUMIFS('Gastos e Ingresos 2027'!$E:$E, 'Gastos e Ingresos 2027'!$D:$D, "Gasto", 'Gastos e Ingresos 2027'!$C:$C, M$2, 'Gastos e Ingresos 2027'!$A:$A, "&gt;="&amp;DATE(2027, 8, 1), 'Gastos e Ingresos 2027'!$A:$A, "&lt;"&amp;DATE(2027, 9, 1)), "")</f>
        <v/>
      </c>
      <c r="N10" s="75">
        <f>IF(COUNTIFS('Gastos e Ingresos 2027'!$A:$A, "&gt;="&amp;DATE(2027, 8, 1), 'Gastos e Ingresos 2027'!$A:$A, "&lt;"&amp;DATE(2027, 9, 1))&gt;0, SUMIFS('Gastos e Ingresos 2027'!$E:$E, 'Gastos e Ingresos 2027'!$D:$D, "Gasto", 'Gastos e Ingresos 2027'!$C:$C, N$2, 'Gastos e Ingresos 2027'!$A:$A, "&gt;="&amp;DATE(2027, 8, 1), 'Gastos e Ingresos 2027'!$A:$A, "&lt;"&amp;DATE(2027, 9, 1)), "")</f>
        <v/>
      </c>
      <c r="O10" s="75">
        <f>IF(COUNTIFS('Gastos e Ingresos 2027'!$A:$A, "&gt;="&amp;DATE(2027, 8, 1), 'Gastos e Ingresos 2027'!$A:$A, "&lt;"&amp;DATE(2027, 9, 1))&gt;0, SUMIFS('Gastos e Ingresos 2027'!$E:$E, 'Gastos e Ingresos 2027'!$D:$D, "Gasto", 'Gastos e Ingresos 2027'!$C:$C, O$2, 'Gastos e Ingresos 2027'!$A:$A, "&gt;="&amp;DATE(2027, 8, 1), 'Gastos e Ingresos 2027'!$A:$A, "&lt;"&amp;DATE(2027, 9, 1)), "")</f>
        <v/>
      </c>
      <c r="P10" s="75">
        <f>IF(COUNTIFS('Gastos e Ingresos 2027'!$A:$A, "&gt;="&amp;DATE(2027, 8, 1), 'Gastos e Ingresos 2027'!$A:$A, "&lt;"&amp;DATE(2027, 9, 1))&gt;0, SUMIFS('Gastos e Ingresos 2027'!$E:$E, 'Gastos e Ingresos 2027'!$D:$D, "Gasto", 'Gastos e Ingresos 2027'!$C:$C, P$2, 'Gastos e Ingresos 2027'!$A:$A, "&gt;="&amp;DATE(2027, 8, 1), 'Gastos e Ingresos 2027'!$A:$A, "&lt;"&amp;DATE(2027, 9, 1)), "")</f>
        <v/>
      </c>
      <c r="Q10" s="75">
        <f>IF(COUNTIFS('Gastos e Ingresos 2027'!$A:$A, "&gt;="&amp;DATE(2027, 8, 1), 'Gastos e Ingresos 2027'!$A:$A, "&lt;"&amp;DATE(2027, 9, 1))&gt;0, SUMIFS('Gastos e Ingresos 2027'!$E:$E, 'Gastos e Ingresos 2027'!$D:$D, "Gasto", 'Gastos e Ingresos 2027'!$C:$C, Q$2, 'Gastos e Ingresos 2027'!$A:$A, "&gt;="&amp;DATE(2027, 8, 1), 'Gastos e Ingresos 2027'!$A:$A, "&lt;"&amp;DATE(2027, 9, 1)), "")</f>
        <v/>
      </c>
      <c r="R10" s="75">
        <f>IF(COUNTIFS('Gastos e Ingresos 2027'!$A:$A, "&gt;="&amp;DATE(2027, 8, 1), 'Gastos e Ingresos 2027'!$A:$A, "&lt;"&amp;DATE(2027, 9, 1))&gt;0, SUMIFS('Gastos e Ingresos 2027'!$E:$E, 'Gastos e Ingresos 2027'!$D:$D, "Gasto", 'Gastos e Ingresos 2027'!$C:$C, R$2, 'Gastos e Ingresos 2027'!$A:$A, "&gt;="&amp;DATE(2027, 8, 1), 'Gastos e Ingresos 2027'!$A:$A, "&lt;"&amp;DATE(2027, 9, 1)), "")</f>
        <v/>
      </c>
    </row>
    <row r="11" ht="24" customHeight="1" s="18">
      <c r="A11" s="97" t="inlineStr">
        <is>
          <t>Septiembre</t>
        </is>
      </c>
      <c r="B11" s="78">
        <f>IF(COUNTIFS('Gastos e Ingresos 2027'!$A:$A, "&gt;="&amp;DATE(2027, 9, 1), 'Gastos e Ingresos 2027'!$A:$A, "&lt;"&amp;DATE(2027, 10, 1))&gt;0, SUMIFS('Gastos e Ingresos 2027'!$E:$E, 'Gastos e Ingresos 2027'!$D:$D, "Ingreso", 'Gastos e Ingresos 2027'!$A:$A, "&gt;="&amp;DATE(2027, 9, 1), 'Gastos e Ingresos 2027'!$A:$A, "&lt;"&amp;DATE(2027, 10, 1)), "")</f>
        <v/>
      </c>
      <c r="C11" s="78">
        <f>IF(COUNTIFS('Gastos e Ingresos 2027'!$A:$A, "&gt;="&amp;DATE(2027, 9, 1), 'Gastos e Ingresos 2027'!$A:$A, "&lt;"&amp;DATE(2027, 10, 1))&gt;0, SUMIFS('Gastos e Ingresos 2027'!$E:$E, 'Gastos e Ingresos 2027'!$D:$D, "Gasto", 'Gastos e Ingresos 2027'!$A:$A, "&gt;="&amp;DATE(2027, 9, 1), 'Gastos e Ingresos 2027'!$A:$A, "&lt;"&amp;DATE(2027, 10, 1)), "")</f>
        <v/>
      </c>
      <c r="D11" s="83">
        <f>IF(B11="","",B11-C11)</f>
        <v/>
      </c>
      <c r="E11" s="98">
        <f>IF(B11="","",IF(B11&gt;0, D11/B11, 0))</f>
        <v/>
      </c>
      <c r="F11" s="78">
        <f>IF(COUNTIFS('Gastos e Ingresos 2027'!$A:$A, "&gt;="&amp;DATE(2027, 9, 1), 'Gastos e Ingresos 2027'!$A:$A, "&lt;"&amp;DATE(2027, 10, 1))&gt;0, SUMIFS('Gastos e Ingresos 2027'!$E:$E, 'Gastos e Ingresos 2027'!$D:$D, "Gasto", 'Gastos e Ingresos 2027'!$C:$C, F$2, 'Gastos e Ingresos 2027'!$A:$A, "&gt;="&amp;DATE(2027, 9, 1), 'Gastos e Ingresos 2027'!$A:$A, "&lt;"&amp;DATE(2027, 10, 1)), "")</f>
        <v/>
      </c>
      <c r="G11" s="78">
        <f>IF(COUNTIFS('Gastos e Ingresos 2027'!$A:$A, "&gt;="&amp;DATE(2027, 9, 1), 'Gastos e Ingresos 2027'!$A:$A, "&lt;"&amp;DATE(2027, 10, 1))&gt;0, SUMIFS('Gastos e Ingresos 2027'!$E:$E, 'Gastos e Ingresos 2027'!$D:$D, "Gasto", 'Gastos e Ingresos 2027'!$C:$C, G$2, 'Gastos e Ingresos 2027'!$A:$A, "&gt;="&amp;DATE(2027, 9, 1), 'Gastos e Ingresos 2027'!$A:$A, "&lt;"&amp;DATE(2027, 10, 1)), "")</f>
        <v/>
      </c>
      <c r="H11" s="78">
        <f>IF(COUNTIFS('Gastos e Ingresos 2027'!$A:$A, "&gt;="&amp;DATE(2027, 9, 1), 'Gastos e Ingresos 2027'!$A:$A, "&lt;"&amp;DATE(2027, 10, 1))&gt;0, SUMIFS('Gastos e Ingresos 2027'!$E:$E, 'Gastos e Ingresos 2027'!$D:$D, "Gasto", 'Gastos e Ingresos 2027'!$C:$C, H$2, 'Gastos e Ingresos 2027'!$A:$A, "&gt;="&amp;DATE(2027, 9, 1), 'Gastos e Ingresos 2027'!$A:$A, "&lt;"&amp;DATE(2027, 10, 1)), "")</f>
        <v/>
      </c>
      <c r="I11" s="78">
        <f>IF(COUNTIFS('Gastos e Ingresos 2027'!$A:$A, "&gt;="&amp;DATE(2027, 9, 1), 'Gastos e Ingresos 2027'!$A:$A, "&lt;"&amp;DATE(2027, 10, 1))&gt;0, SUMIFS('Gastos e Ingresos 2027'!$E:$E, 'Gastos e Ingresos 2027'!$D:$D, "Gasto", 'Gastos e Ingresos 2027'!$C:$C, I$2, 'Gastos e Ingresos 2027'!$A:$A, "&gt;="&amp;DATE(2027, 9, 1), 'Gastos e Ingresos 2027'!$A:$A, "&lt;"&amp;DATE(2027, 10, 1)), "")</f>
        <v/>
      </c>
      <c r="J11" s="78">
        <f>IF(COUNTIFS('Gastos e Ingresos 2027'!$A:$A, "&gt;="&amp;DATE(2027, 9, 1), 'Gastos e Ingresos 2027'!$A:$A, "&lt;"&amp;DATE(2027, 10, 1))&gt;0, SUMIFS('Gastos e Ingresos 2027'!$E:$E, 'Gastos e Ingresos 2027'!$D:$D, "Gasto", 'Gastos e Ingresos 2027'!$C:$C, J$2, 'Gastos e Ingresos 2027'!$A:$A, "&gt;="&amp;DATE(2027, 9, 1), 'Gastos e Ingresos 2027'!$A:$A, "&lt;"&amp;DATE(2027, 10, 1)), "")</f>
        <v/>
      </c>
      <c r="K11" s="78">
        <f>IF(COUNTIFS('Gastos e Ingresos 2027'!$A:$A, "&gt;="&amp;DATE(2027, 9, 1), 'Gastos e Ingresos 2027'!$A:$A, "&lt;"&amp;DATE(2027, 10, 1))&gt;0, SUMIFS('Gastos e Ingresos 2027'!$E:$E, 'Gastos e Ingresos 2027'!$D:$D, "Gasto", 'Gastos e Ingresos 2027'!$C:$C, K$2, 'Gastos e Ingresos 2027'!$A:$A, "&gt;="&amp;DATE(2027, 9, 1), 'Gastos e Ingresos 2027'!$A:$A, "&lt;"&amp;DATE(2027, 10, 1)), "")</f>
        <v/>
      </c>
      <c r="L11" s="78">
        <f>IF(COUNTIFS('Gastos e Ingresos 2027'!$A:$A, "&gt;="&amp;DATE(2027, 9, 1), 'Gastos e Ingresos 2027'!$A:$A, "&lt;"&amp;DATE(2027, 10, 1))&gt;0, SUMIFS('Gastos e Ingresos 2027'!$E:$E, 'Gastos e Ingresos 2027'!$D:$D, "Gasto", 'Gastos e Ingresos 2027'!$C:$C, L$2, 'Gastos e Ingresos 2027'!$A:$A, "&gt;="&amp;DATE(2027, 9, 1), 'Gastos e Ingresos 2027'!$A:$A, "&lt;"&amp;DATE(2027, 10, 1)), "")</f>
        <v/>
      </c>
      <c r="M11" s="78">
        <f>IF(COUNTIFS('Gastos e Ingresos 2027'!$A:$A, "&gt;="&amp;DATE(2027, 9, 1), 'Gastos e Ingresos 2027'!$A:$A, "&lt;"&amp;DATE(2027, 10, 1))&gt;0, SUMIFS('Gastos e Ingresos 2027'!$E:$E, 'Gastos e Ingresos 2027'!$D:$D, "Gasto", 'Gastos e Ingresos 2027'!$C:$C, M$2, 'Gastos e Ingresos 2027'!$A:$A, "&gt;="&amp;DATE(2027, 9, 1), 'Gastos e Ingresos 2027'!$A:$A, "&lt;"&amp;DATE(2027, 10, 1)), "")</f>
        <v/>
      </c>
      <c r="N11" s="78">
        <f>IF(COUNTIFS('Gastos e Ingresos 2027'!$A:$A, "&gt;="&amp;DATE(2027, 9, 1), 'Gastos e Ingresos 2027'!$A:$A, "&lt;"&amp;DATE(2027, 10, 1))&gt;0, SUMIFS('Gastos e Ingresos 2027'!$E:$E, 'Gastos e Ingresos 2027'!$D:$D, "Gasto", 'Gastos e Ingresos 2027'!$C:$C, N$2, 'Gastos e Ingresos 2027'!$A:$A, "&gt;="&amp;DATE(2027, 9, 1), 'Gastos e Ingresos 2027'!$A:$A, "&lt;"&amp;DATE(2027, 10, 1)), "")</f>
        <v/>
      </c>
      <c r="O11" s="78">
        <f>IF(COUNTIFS('Gastos e Ingresos 2027'!$A:$A, "&gt;="&amp;DATE(2027, 9, 1), 'Gastos e Ingresos 2027'!$A:$A, "&lt;"&amp;DATE(2027, 10, 1))&gt;0, SUMIFS('Gastos e Ingresos 2027'!$E:$E, 'Gastos e Ingresos 2027'!$D:$D, "Gasto", 'Gastos e Ingresos 2027'!$C:$C, O$2, 'Gastos e Ingresos 2027'!$A:$A, "&gt;="&amp;DATE(2027, 9, 1), 'Gastos e Ingresos 2027'!$A:$A, "&lt;"&amp;DATE(2027, 10, 1)), "")</f>
        <v/>
      </c>
      <c r="P11" s="78">
        <f>IF(COUNTIFS('Gastos e Ingresos 2027'!$A:$A, "&gt;="&amp;DATE(2027, 9, 1), 'Gastos e Ingresos 2027'!$A:$A, "&lt;"&amp;DATE(2027, 10, 1))&gt;0, SUMIFS('Gastos e Ingresos 2027'!$E:$E, 'Gastos e Ingresos 2027'!$D:$D, "Gasto", 'Gastos e Ingresos 2027'!$C:$C, P$2, 'Gastos e Ingresos 2027'!$A:$A, "&gt;="&amp;DATE(2027, 9, 1), 'Gastos e Ingresos 2027'!$A:$A, "&lt;"&amp;DATE(2027, 10, 1)), "")</f>
        <v/>
      </c>
      <c r="Q11" s="78">
        <f>IF(COUNTIFS('Gastos e Ingresos 2027'!$A:$A, "&gt;="&amp;DATE(2027, 9, 1), 'Gastos e Ingresos 2027'!$A:$A, "&lt;"&amp;DATE(2027, 10, 1))&gt;0, SUMIFS('Gastos e Ingresos 2027'!$E:$E, 'Gastos e Ingresos 2027'!$D:$D, "Gasto", 'Gastos e Ingresos 2027'!$C:$C, Q$2, 'Gastos e Ingresos 2027'!$A:$A, "&gt;="&amp;DATE(2027, 9, 1), 'Gastos e Ingresos 2027'!$A:$A, "&lt;"&amp;DATE(2027, 10, 1)), "")</f>
        <v/>
      </c>
      <c r="R11" s="78">
        <f>IF(COUNTIFS('Gastos e Ingresos 2027'!$A:$A, "&gt;="&amp;DATE(2027, 9, 1), 'Gastos e Ingresos 2027'!$A:$A, "&lt;"&amp;DATE(2027, 10, 1))&gt;0, SUMIFS('Gastos e Ingresos 2027'!$E:$E, 'Gastos e Ingresos 2027'!$D:$D, "Gasto", 'Gastos e Ingresos 2027'!$C:$C, R$2, 'Gastos e Ingresos 2027'!$A:$A, "&gt;="&amp;DATE(2027, 9, 1), 'Gastos e Ingresos 2027'!$A:$A, "&lt;"&amp;DATE(2027, 10, 1)), "")</f>
        <v/>
      </c>
    </row>
    <row r="12" ht="24" customHeight="1" s="18">
      <c r="A12" s="97" t="inlineStr">
        <is>
          <t>Octubre</t>
        </is>
      </c>
      <c r="B12" s="78">
        <f>IF(COUNTIFS('Gastos e Ingresos 2027'!$A:$A, "&gt;="&amp;DATE(2027, 10, 1), 'Gastos e Ingresos 2027'!$A:$A, "&lt;"&amp;DATE(2027, 11, 1))&gt;0, SUMIFS('Gastos e Ingresos 2027'!$E:$E, 'Gastos e Ingresos 2027'!$D:$D, "Ingreso", 'Gastos e Ingresos 2027'!$A:$A, "&gt;="&amp;DATE(2027, 10, 1), 'Gastos e Ingresos 2027'!$A:$A, "&lt;"&amp;DATE(2027, 11, 1)), "")</f>
        <v/>
      </c>
      <c r="C12" s="78">
        <f>IF(COUNTIFS('Gastos e Ingresos 2027'!$A:$A, "&gt;="&amp;DATE(2027, 10, 1), 'Gastos e Ingresos 2027'!$A:$A, "&lt;"&amp;DATE(2027, 11, 1))&gt;0, SUMIFS('Gastos e Ingresos 2027'!$E:$E, 'Gastos e Ingresos 2027'!$D:$D, "Gasto", 'Gastos e Ingresos 2027'!$A:$A, "&gt;="&amp;DATE(2027, 10, 1), 'Gastos e Ingresos 2027'!$A:$A, "&lt;"&amp;DATE(2027, 11, 1)), "")</f>
        <v/>
      </c>
      <c r="D12" s="83">
        <f>IF(B12="","",B12-C12)</f>
        <v/>
      </c>
      <c r="E12" s="98">
        <f>IF(B12="","",IF(B12&gt;0, D12/B12, 0))</f>
        <v/>
      </c>
      <c r="F12" s="75">
        <f>IF(COUNTIFS('Gastos e Ingresos 2027'!$A:$A, "&gt;="&amp;DATE(2027, 10, 1), 'Gastos e Ingresos 2027'!$A:$A, "&lt;"&amp;DATE(2027, 11, 1))&gt;0, SUMIFS('Gastos e Ingresos 2027'!$E:$E, 'Gastos e Ingresos 2027'!$D:$D, "Gasto", 'Gastos e Ingresos 2027'!$C:$C, F$2, 'Gastos e Ingresos 2027'!$A:$A, "&gt;="&amp;DATE(2027, 10, 1), 'Gastos e Ingresos 2027'!$A:$A, "&lt;"&amp;DATE(2027, 11, 1)), "")</f>
        <v/>
      </c>
      <c r="G12" s="75">
        <f>IF(COUNTIFS('Gastos e Ingresos 2027'!$A:$A, "&gt;="&amp;DATE(2027, 10, 1), 'Gastos e Ingresos 2027'!$A:$A, "&lt;"&amp;DATE(2027, 11, 1))&gt;0, SUMIFS('Gastos e Ingresos 2027'!$E:$E, 'Gastos e Ingresos 2027'!$D:$D, "Gasto", 'Gastos e Ingresos 2027'!$C:$C, G$2, 'Gastos e Ingresos 2027'!$A:$A, "&gt;="&amp;DATE(2027, 10, 1), 'Gastos e Ingresos 2027'!$A:$A, "&lt;"&amp;DATE(2027, 11, 1)), "")</f>
        <v/>
      </c>
      <c r="H12" s="75">
        <f>IF(COUNTIFS('Gastos e Ingresos 2027'!$A:$A, "&gt;="&amp;DATE(2027, 10, 1), 'Gastos e Ingresos 2027'!$A:$A, "&lt;"&amp;DATE(2027, 11, 1))&gt;0, SUMIFS('Gastos e Ingresos 2027'!$E:$E, 'Gastos e Ingresos 2027'!$D:$D, "Gasto", 'Gastos e Ingresos 2027'!$C:$C, H$2, 'Gastos e Ingresos 2027'!$A:$A, "&gt;="&amp;DATE(2027, 10, 1), 'Gastos e Ingresos 2027'!$A:$A, "&lt;"&amp;DATE(2027, 11, 1)), "")</f>
        <v/>
      </c>
      <c r="I12" s="75">
        <f>IF(COUNTIFS('Gastos e Ingresos 2027'!$A:$A, "&gt;="&amp;DATE(2027, 10, 1), 'Gastos e Ingresos 2027'!$A:$A, "&lt;"&amp;DATE(2027, 11, 1))&gt;0, SUMIFS('Gastos e Ingresos 2027'!$E:$E, 'Gastos e Ingresos 2027'!$D:$D, "Gasto", 'Gastos e Ingresos 2027'!$C:$C, I$2, 'Gastos e Ingresos 2027'!$A:$A, "&gt;="&amp;DATE(2027, 10, 1), 'Gastos e Ingresos 2027'!$A:$A, "&lt;"&amp;DATE(2027, 11, 1)), "")</f>
        <v/>
      </c>
      <c r="J12" s="75">
        <f>IF(COUNTIFS('Gastos e Ingresos 2027'!$A:$A, "&gt;="&amp;DATE(2027, 10, 1), 'Gastos e Ingresos 2027'!$A:$A, "&lt;"&amp;DATE(2027, 11, 1))&gt;0, SUMIFS('Gastos e Ingresos 2027'!$E:$E, 'Gastos e Ingresos 2027'!$D:$D, "Gasto", 'Gastos e Ingresos 2027'!$C:$C, J$2, 'Gastos e Ingresos 2027'!$A:$A, "&gt;="&amp;DATE(2027, 10, 1), 'Gastos e Ingresos 2027'!$A:$A, "&lt;"&amp;DATE(2027, 11, 1)), "")</f>
        <v/>
      </c>
      <c r="K12" s="75">
        <f>IF(COUNTIFS('Gastos e Ingresos 2027'!$A:$A, "&gt;="&amp;DATE(2027, 10, 1), 'Gastos e Ingresos 2027'!$A:$A, "&lt;"&amp;DATE(2027, 11, 1))&gt;0, SUMIFS('Gastos e Ingresos 2027'!$E:$E, 'Gastos e Ingresos 2027'!$D:$D, "Gasto", 'Gastos e Ingresos 2027'!$C:$C, K$2, 'Gastos e Ingresos 2027'!$A:$A, "&gt;="&amp;DATE(2027, 10, 1), 'Gastos e Ingresos 2027'!$A:$A, "&lt;"&amp;DATE(2027, 11, 1)), "")</f>
        <v/>
      </c>
      <c r="L12" s="75">
        <f>IF(COUNTIFS('Gastos e Ingresos 2027'!$A:$A, "&gt;="&amp;DATE(2027, 10, 1), 'Gastos e Ingresos 2027'!$A:$A, "&lt;"&amp;DATE(2027, 11, 1))&gt;0, SUMIFS('Gastos e Ingresos 2027'!$E:$E, 'Gastos e Ingresos 2027'!$D:$D, "Gasto", 'Gastos e Ingresos 2027'!$C:$C, L$2, 'Gastos e Ingresos 2027'!$A:$A, "&gt;="&amp;DATE(2027, 10, 1), 'Gastos e Ingresos 2027'!$A:$A, "&lt;"&amp;DATE(2027, 11, 1)), "")</f>
        <v/>
      </c>
      <c r="M12" s="75">
        <f>IF(COUNTIFS('Gastos e Ingresos 2027'!$A:$A, "&gt;="&amp;DATE(2027, 10, 1), 'Gastos e Ingresos 2027'!$A:$A, "&lt;"&amp;DATE(2027, 11, 1))&gt;0, SUMIFS('Gastos e Ingresos 2027'!$E:$E, 'Gastos e Ingresos 2027'!$D:$D, "Gasto", 'Gastos e Ingresos 2027'!$C:$C, M$2, 'Gastos e Ingresos 2027'!$A:$A, "&gt;="&amp;DATE(2027, 10, 1), 'Gastos e Ingresos 2027'!$A:$A, "&lt;"&amp;DATE(2027, 11, 1)), "")</f>
        <v/>
      </c>
      <c r="N12" s="75">
        <f>IF(COUNTIFS('Gastos e Ingresos 2027'!$A:$A, "&gt;="&amp;DATE(2027, 10, 1), 'Gastos e Ingresos 2027'!$A:$A, "&lt;"&amp;DATE(2027, 11, 1))&gt;0, SUMIFS('Gastos e Ingresos 2027'!$E:$E, 'Gastos e Ingresos 2027'!$D:$D, "Gasto", 'Gastos e Ingresos 2027'!$C:$C, N$2, 'Gastos e Ingresos 2027'!$A:$A, "&gt;="&amp;DATE(2027, 10, 1), 'Gastos e Ingresos 2027'!$A:$A, "&lt;"&amp;DATE(2027, 11, 1)), "")</f>
        <v/>
      </c>
      <c r="O12" s="75">
        <f>IF(COUNTIFS('Gastos e Ingresos 2027'!$A:$A, "&gt;="&amp;DATE(2027, 10, 1), 'Gastos e Ingresos 2027'!$A:$A, "&lt;"&amp;DATE(2027, 11, 1))&gt;0, SUMIFS('Gastos e Ingresos 2027'!$E:$E, 'Gastos e Ingresos 2027'!$D:$D, "Gasto", 'Gastos e Ingresos 2027'!$C:$C, O$2, 'Gastos e Ingresos 2027'!$A:$A, "&gt;="&amp;DATE(2027, 10, 1), 'Gastos e Ingresos 2027'!$A:$A, "&lt;"&amp;DATE(2027, 11, 1)), "")</f>
        <v/>
      </c>
      <c r="P12" s="75">
        <f>IF(COUNTIFS('Gastos e Ingresos 2027'!$A:$A, "&gt;="&amp;DATE(2027, 10, 1), 'Gastos e Ingresos 2027'!$A:$A, "&lt;"&amp;DATE(2027, 11, 1))&gt;0, SUMIFS('Gastos e Ingresos 2027'!$E:$E, 'Gastos e Ingresos 2027'!$D:$D, "Gasto", 'Gastos e Ingresos 2027'!$C:$C, P$2, 'Gastos e Ingresos 2027'!$A:$A, "&gt;="&amp;DATE(2027, 10, 1), 'Gastos e Ingresos 2027'!$A:$A, "&lt;"&amp;DATE(2027, 11, 1)), "")</f>
        <v/>
      </c>
      <c r="Q12" s="75">
        <f>IF(COUNTIFS('Gastos e Ingresos 2027'!$A:$A, "&gt;="&amp;DATE(2027, 10, 1), 'Gastos e Ingresos 2027'!$A:$A, "&lt;"&amp;DATE(2027, 11, 1))&gt;0, SUMIFS('Gastos e Ingresos 2027'!$E:$E, 'Gastos e Ingresos 2027'!$D:$D, "Gasto", 'Gastos e Ingresos 2027'!$C:$C, Q$2, 'Gastos e Ingresos 2027'!$A:$A, "&gt;="&amp;DATE(2027, 10, 1), 'Gastos e Ingresos 2027'!$A:$A, "&lt;"&amp;DATE(2027, 11, 1)), "")</f>
        <v/>
      </c>
      <c r="R12" s="75">
        <f>IF(COUNTIFS('Gastos e Ingresos 2027'!$A:$A, "&gt;="&amp;DATE(2027, 10, 1), 'Gastos e Ingresos 2027'!$A:$A, "&lt;"&amp;DATE(2027, 11, 1))&gt;0, SUMIFS('Gastos e Ingresos 2027'!$E:$E, 'Gastos e Ingresos 2027'!$D:$D, "Gasto", 'Gastos e Ingresos 2027'!$C:$C, R$2, 'Gastos e Ingresos 2027'!$A:$A, "&gt;="&amp;DATE(2027, 10, 1), 'Gastos e Ingresos 2027'!$A:$A, "&lt;"&amp;DATE(2027, 11, 1)), "")</f>
        <v/>
      </c>
    </row>
    <row r="13" ht="24" customHeight="1" s="18">
      <c r="A13" s="97" t="inlineStr">
        <is>
          <t>Noviembre</t>
        </is>
      </c>
      <c r="B13" s="78">
        <f>IF(COUNTIFS('Gastos e Ingresos 2027'!$A:$A, "&gt;="&amp;DATE(2027, 11, 1), 'Gastos e Ingresos 2027'!$A:$A, "&lt;"&amp;DATE(2027, 12, 1))&gt;0, SUMIFS('Gastos e Ingresos 2027'!$E:$E, 'Gastos e Ingresos 2027'!$D:$D, "Ingreso", 'Gastos e Ingresos 2027'!$A:$A, "&gt;="&amp;DATE(2027, 11, 1), 'Gastos e Ingresos 2027'!$A:$A, "&lt;"&amp;DATE(2027, 12, 1)), "")</f>
        <v/>
      </c>
      <c r="C13" s="78">
        <f>IF(COUNTIFS('Gastos e Ingresos 2027'!$A:$A, "&gt;="&amp;DATE(2027, 11, 1), 'Gastos e Ingresos 2027'!$A:$A, "&lt;"&amp;DATE(2027, 12, 1))&gt;0, SUMIFS('Gastos e Ingresos 2027'!$E:$E, 'Gastos e Ingresos 2027'!$D:$D, "Gasto", 'Gastos e Ingresos 2027'!$A:$A, "&gt;="&amp;DATE(2027, 11, 1), 'Gastos e Ingresos 2027'!$A:$A, "&lt;"&amp;DATE(2027, 12, 1)), "")</f>
        <v/>
      </c>
      <c r="D13" s="83">
        <f>IF(B13="","",B13-C13)</f>
        <v/>
      </c>
      <c r="E13" s="98">
        <f>IF(B13="","",IF(B13&gt;0, D13/B13, 0))</f>
        <v/>
      </c>
      <c r="F13" s="78">
        <f>IF(COUNTIFS('Gastos e Ingresos 2027'!$A:$A, "&gt;="&amp;DATE(2027, 11, 1), 'Gastos e Ingresos 2027'!$A:$A, "&lt;"&amp;DATE(2027, 12, 1))&gt;0, SUMIFS('Gastos e Ingresos 2027'!$E:$E, 'Gastos e Ingresos 2027'!$D:$D, "Gasto", 'Gastos e Ingresos 2027'!$C:$C, F$2, 'Gastos e Ingresos 2027'!$A:$A, "&gt;="&amp;DATE(2027, 11, 1), 'Gastos e Ingresos 2027'!$A:$A, "&lt;"&amp;DATE(2027, 12, 1)), "")</f>
        <v/>
      </c>
      <c r="G13" s="78">
        <f>IF(COUNTIFS('Gastos e Ingresos 2027'!$A:$A, "&gt;="&amp;DATE(2027, 11, 1), 'Gastos e Ingresos 2027'!$A:$A, "&lt;"&amp;DATE(2027, 12, 1))&gt;0, SUMIFS('Gastos e Ingresos 2027'!$E:$E, 'Gastos e Ingresos 2027'!$D:$D, "Gasto", 'Gastos e Ingresos 2027'!$C:$C, G$2, 'Gastos e Ingresos 2027'!$A:$A, "&gt;="&amp;DATE(2027, 11, 1), 'Gastos e Ingresos 2027'!$A:$A, "&lt;"&amp;DATE(2027, 12, 1)), "")</f>
        <v/>
      </c>
      <c r="H13" s="78">
        <f>IF(COUNTIFS('Gastos e Ingresos 2027'!$A:$A, "&gt;="&amp;DATE(2027, 11, 1), 'Gastos e Ingresos 2027'!$A:$A, "&lt;"&amp;DATE(2027, 12, 1))&gt;0, SUMIFS('Gastos e Ingresos 2027'!$E:$E, 'Gastos e Ingresos 2027'!$D:$D, "Gasto", 'Gastos e Ingresos 2027'!$C:$C, H$2, 'Gastos e Ingresos 2027'!$A:$A, "&gt;="&amp;DATE(2027, 11, 1), 'Gastos e Ingresos 2027'!$A:$A, "&lt;"&amp;DATE(2027, 12, 1)), "")</f>
        <v/>
      </c>
      <c r="I13" s="78">
        <f>IF(COUNTIFS('Gastos e Ingresos 2027'!$A:$A, "&gt;="&amp;DATE(2027, 11, 1), 'Gastos e Ingresos 2027'!$A:$A, "&lt;"&amp;DATE(2027, 12, 1))&gt;0, SUMIFS('Gastos e Ingresos 2027'!$E:$E, 'Gastos e Ingresos 2027'!$D:$D, "Gasto", 'Gastos e Ingresos 2027'!$C:$C, I$2, 'Gastos e Ingresos 2027'!$A:$A, "&gt;="&amp;DATE(2027, 11, 1), 'Gastos e Ingresos 2027'!$A:$A, "&lt;"&amp;DATE(2027, 12, 1)), "")</f>
        <v/>
      </c>
      <c r="J13" s="78">
        <f>IF(COUNTIFS('Gastos e Ingresos 2027'!$A:$A, "&gt;="&amp;DATE(2027, 11, 1), 'Gastos e Ingresos 2027'!$A:$A, "&lt;"&amp;DATE(2027, 12, 1))&gt;0, SUMIFS('Gastos e Ingresos 2027'!$E:$E, 'Gastos e Ingresos 2027'!$D:$D, "Gasto", 'Gastos e Ingresos 2027'!$C:$C, J$2, 'Gastos e Ingresos 2027'!$A:$A, "&gt;="&amp;DATE(2027, 11, 1), 'Gastos e Ingresos 2027'!$A:$A, "&lt;"&amp;DATE(2027, 12, 1)), "")</f>
        <v/>
      </c>
      <c r="K13" s="78">
        <f>IF(COUNTIFS('Gastos e Ingresos 2027'!$A:$A, "&gt;="&amp;DATE(2027, 11, 1), 'Gastos e Ingresos 2027'!$A:$A, "&lt;"&amp;DATE(2027, 12, 1))&gt;0, SUMIFS('Gastos e Ingresos 2027'!$E:$E, 'Gastos e Ingresos 2027'!$D:$D, "Gasto", 'Gastos e Ingresos 2027'!$C:$C, K$2, 'Gastos e Ingresos 2027'!$A:$A, "&gt;="&amp;DATE(2027, 11, 1), 'Gastos e Ingresos 2027'!$A:$A, "&lt;"&amp;DATE(2027, 12, 1)), "")</f>
        <v/>
      </c>
      <c r="L13" s="78">
        <f>IF(COUNTIFS('Gastos e Ingresos 2027'!$A:$A, "&gt;="&amp;DATE(2027, 11, 1), 'Gastos e Ingresos 2027'!$A:$A, "&lt;"&amp;DATE(2027, 12, 1))&gt;0, SUMIFS('Gastos e Ingresos 2027'!$E:$E, 'Gastos e Ingresos 2027'!$D:$D, "Gasto", 'Gastos e Ingresos 2027'!$C:$C, L$2, 'Gastos e Ingresos 2027'!$A:$A, "&gt;="&amp;DATE(2027, 11, 1), 'Gastos e Ingresos 2027'!$A:$A, "&lt;"&amp;DATE(2027, 12, 1)), "")</f>
        <v/>
      </c>
      <c r="M13" s="78">
        <f>IF(COUNTIFS('Gastos e Ingresos 2027'!$A:$A, "&gt;="&amp;DATE(2027, 11, 1), 'Gastos e Ingresos 2027'!$A:$A, "&lt;"&amp;DATE(2027, 12, 1))&gt;0, SUMIFS('Gastos e Ingresos 2027'!$E:$E, 'Gastos e Ingresos 2027'!$D:$D, "Gasto", 'Gastos e Ingresos 2027'!$C:$C, M$2, 'Gastos e Ingresos 2027'!$A:$A, "&gt;="&amp;DATE(2027, 11, 1), 'Gastos e Ingresos 2027'!$A:$A, "&lt;"&amp;DATE(2027, 12, 1)), "")</f>
        <v/>
      </c>
      <c r="N13" s="78">
        <f>IF(COUNTIFS('Gastos e Ingresos 2027'!$A:$A, "&gt;="&amp;DATE(2027, 11, 1), 'Gastos e Ingresos 2027'!$A:$A, "&lt;"&amp;DATE(2027, 12, 1))&gt;0, SUMIFS('Gastos e Ingresos 2027'!$E:$E, 'Gastos e Ingresos 2027'!$D:$D, "Gasto", 'Gastos e Ingresos 2027'!$C:$C, N$2, 'Gastos e Ingresos 2027'!$A:$A, "&gt;="&amp;DATE(2027, 11, 1), 'Gastos e Ingresos 2027'!$A:$A, "&lt;"&amp;DATE(2027, 12, 1)), "")</f>
        <v/>
      </c>
      <c r="O13" s="78">
        <f>IF(COUNTIFS('Gastos e Ingresos 2027'!$A:$A, "&gt;="&amp;DATE(2027, 11, 1), 'Gastos e Ingresos 2027'!$A:$A, "&lt;"&amp;DATE(2027, 12, 1))&gt;0, SUMIFS('Gastos e Ingresos 2027'!$E:$E, 'Gastos e Ingresos 2027'!$D:$D, "Gasto", 'Gastos e Ingresos 2027'!$C:$C, O$2, 'Gastos e Ingresos 2027'!$A:$A, "&gt;="&amp;DATE(2027, 11, 1), 'Gastos e Ingresos 2027'!$A:$A, "&lt;"&amp;DATE(2027, 12, 1)), "")</f>
        <v/>
      </c>
      <c r="P13" s="78">
        <f>IF(COUNTIFS('Gastos e Ingresos 2027'!$A:$A, "&gt;="&amp;DATE(2027, 11, 1), 'Gastos e Ingresos 2027'!$A:$A, "&lt;"&amp;DATE(2027, 12, 1))&gt;0, SUMIFS('Gastos e Ingresos 2027'!$E:$E, 'Gastos e Ingresos 2027'!$D:$D, "Gasto", 'Gastos e Ingresos 2027'!$C:$C, P$2, 'Gastos e Ingresos 2027'!$A:$A, "&gt;="&amp;DATE(2027, 11, 1), 'Gastos e Ingresos 2027'!$A:$A, "&lt;"&amp;DATE(2027, 12, 1)), "")</f>
        <v/>
      </c>
      <c r="Q13" s="78">
        <f>IF(COUNTIFS('Gastos e Ingresos 2027'!$A:$A, "&gt;="&amp;DATE(2027, 11, 1), 'Gastos e Ingresos 2027'!$A:$A, "&lt;"&amp;DATE(2027, 12, 1))&gt;0, SUMIFS('Gastos e Ingresos 2027'!$E:$E, 'Gastos e Ingresos 2027'!$D:$D, "Gasto", 'Gastos e Ingresos 2027'!$C:$C, Q$2, 'Gastos e Ingresos 2027'!$A:$A, "&gt;="&amp;DATE(2027, 11, 1), 'Gastos e Ingresos 2027'!$A:$A, "&lt;"&amp;DATE(2027, 12, 1)), "")</f>
        <v/>
      </c>
      <c r="R13" s="78">
        <f>IF(COUNTIFS('Gastos e Ingresos 2027'!$A:$A, "&gt;="&amp;DATE(2027, 11, 1), 'Gastos e Ingresos 2027'!$A:$A, "&lt;"&amp;DATE(2027, 12, 1))&gt;0, SUMIFS('Gastos e Ingresos 2027'!$E:$E, 'Gastos e Ingresos 2027'!$D:$D, "Gasto", 'Gastos e Ingresos 2027'!$C:$C, R$2, 'Gastos e Ingresos 2027'!$A:$A, "&gt;="&amp;DATE(2027, 11, 1), 'Gastos e Ingresos 2027'!$A:$A, "&lt;"&amp;DATE(2027, 12, 1)), "")</f>
        <v/>
      </c>
    </row>
    <row r="14" ht="24" customHeight="1" s="18">
      <c r="A14" s="97" t="inlineStr">
        <is>
          <t>Diciembre</t>
        </is>
      </c>
      <c r="B14" s="78">
        <f>IF(COUNTIFS('Gastos e Ingresos 2027'!$A:$A, "&gt;="&amp;DATE(2027, 12, 1), 'Gastos e Ingresos 2027'!$A:$A, "&lt;"&amp;DATE(2027, 13, 1))&gt;0, SUMIFS('Gastos e Ingresos 2027'!$E:$E, 'Gastos e Ingresos 2027'!$D:$D, "Ingreso", 'Gastos e Ingresos 2027'!$A:$A, "&gt;="&amp;DATE(2027, 12, 1), 'Gastos e Ingresos 2027'!$A:$A, "&lt;"&amp;DATE(2027, 13, 1)), "")</f>
        <v/>
      </c>
      <c r="C14" s="78">
        <f>IF(COUNTIFS('Gastos e Ingresos 2027'!$A:$A, "&gt;="&amp;DATE(2027, 12, 1), 'Gastos e Ingresos 2027'!$A:$A, "&lt;"&amp;DATE(2027, 13, 1))&gt;0, SUMIFS('Gastos e Ingresos 2027'!$E:$E, 'Gastos e Ingresos 2027'!$D:$D, "Gasto", 'Gastos e Ingresos 2027'!$A:$A, "&gt;="&amp;DATE(2027, 12, 1), 'Gastos e Ingresos 2027'!$A:$A, "&lt;"&amp;DATE(2027, 13, 1)), "")</f>
        <v/>
      </c>
      <c r="D14" s="83">
        <f>IF(B14="","",B14-C14)</f>
        <v/>
      </c>
      <c r="E14" s="98">
        <f>IF(B14="","",IF(B14&gt;0, D14/B14, 0))</f>
        <v/>
      </c>
      <c r="F14" s="75">
        <f>IF(COUNTIFS('Gastos e Ingresos 2027'!$A:$A, "&gt;="&amp;DATE(2027, 12, 1), 'Gastos e Ingresos 2027'!$A:$A, "&lt;"&amp;DATE(2027, 13, 1))&gt;0, SUMIFS('Gastos e Ingresos 2027'!$E:$E, 'Gastos e Ingresos 2027'!$D:$D, "Gasto", 'Gastos e Ingresos 2027'!$C:$C, F$2, 'Gastos e Ingresos 2027'!$A:$A, "&gt;="&amp;DATE(2027, 12, 1), 'Gastos e Ingresos 2027'!$A:$A, "&lt;"&amp;DATE(2027, 13, 1)), "")</f>
        <v/>
      </c>
      <c r="G14" s="75">
        <f>IF(COUNTIFS('Gastos e Ingresos 2027'!$A:$A, "&gt;="&amp;DATE(2027, 12, 1), 'Gastos e Ingresos 2027'!$A:$A, "&lt;"&amp;DATE(2027, 13, 1))&gt;0, SUMIFS('Gastos e Ingresos 2027'!$E:$E, 'Gastos e Ingresos 2027'!$D:$D, "Gasto", 'Gastos e Ingresos 2027'!$C:$C, G$2, 'Gastos e Ingresos 2027'!$A:$A, "&gt;="&amp;DATE(2027, 12, 1), 'Gastos e Ingresos 2027'!$A:$A, "&lt;"&amp;DATE(2027, 13, 1)), "")</f>
        <v/>
      </c>
      <c r="H14" s="75">
        <f>IF(COUNTIFS('Gastos e Ingresos 2027'!$A:$A, "&gt;="&amp;DATE(2027, 12, 1), 'Gastos e Ingresos 2027'!$A:$A, "&lt;"&amp;DATE(2027, 13, 1))&gt;0, SUMIFS('Gastos e Ingresos 2027'!$E:$E, 'Gastos e Ingresos 2027'!$D:$D, "Gasto", 'Gastos e Ingresos 2027'!$C:$C, H$2, 'Gastos e Ingresos 2027'!$A:$A, "&gt;="&amp;DATE(2027, 12, 1), 'Gastos e Ingresos 2027'!$A:$A, "&lt;"&amp;DATE(2027, 13, 1)), "")</f>
        <v/>
      </c>
      <c r="I14" s="75">
        <f>IF(COUNTIFS('Gastos e Ingresos 2027'!$A:$A, "&gt;="&amp;DATE(2027, 12, 1), 'Gastos e Ingresos 2027'!$A:$A, "&lt;"&amp;DATE(2027, 13, 1))&gt;0, SUMIFS('Gastos e Ingresos 2027'!$E:$E, 'Gastos e Ingresos 2027'!$D:$D, "Gasto", 'Gastos e Ingresos 2027'!$C:$C, I$2, 'Gastos e Ingresos 2027'!$A:$A, "&gt;="&amp;DATE(2027, 12, 1), 'Gastos e Ingresos 2027'!$A:$A, "&lt;"&amp;DATE(2027, 13, 1)), "")</f>
        <v/>
      </c>
      <c r="J14" s="75">
        <f>IF(COUNTIFS('Gastos e Ingresos 2027'!$A:$A, "&gt;="&amp;DATE(2027, 12, 1), 'Gastos e Ingresos 2027'!$A:$A, "&lt;"&amp;DATE(2027, 13, 1))&gt;0, SUMIFS('Gastos e Ingresos 2027'!$E:$E, 'Gastos e Ingresos 2027'!$D:$D, "Gasto", 'Gastos e Ingresos 2027'!$C:$C, J$2, 'Gastos e Ingresos 2027'!$A:$A, "&gt;="&amp;DATE(2027, 12, 1), 'Gastos e Ingresos 2027'!$A:$A, "&lt;"&amp;DATE(2027, 13, 1)), "")</f>
        <v/>
      </c>
      <c r="K14" s="75">
        <f>IF(COUNTIFS('Gastos e Ingresos 2027'!$A:$A, "&gt;="&amp;DATE(2027, 12, 1), 'Gastos e Ingresos 2027'!$A:$A, "&lt;"&amp;DATE(2027, 13, 1))&gt;0, SUMIFS('Gastos e Ingresos 2027'!$E:$E, 'Gastos e Ingresos 2027'!$D:$D, "Gasto", 'Gastos e Ingresos 2027'!$C:$C, K$2, 'Gastos e Ingresos 2027'!$A:$A, "&gt;="&amp;DATE(2027, 12, 1), 'Gastos e Ingresos 2027'!$A:$A, "&lt;"&amp;DATE(2027, 13, 1)), "")</f>
        <v/>
      </c>
      <c r="L14" s="75">
        <f>IF(COUNTIFS('Gastos e Ingresos 2027'!$A:$A, "&gt;="&amp;DATE(2027, 12, 1), 'Gastos e Ingresos 2027'!$A:$A, "&lt;"&amp;DATE(2027, 13, 1))&gt;0, SUMIFS('Gastos e Ingresos 2027'!$E:$E, 'Gastos e Ingresos 2027'!$D:$D, "Gasto", 'Gastos e Ingresos 2027'!$C:$C, L$2, 'Gastos e Ingresos 2027'!$A:$A, "&gt;="&amp;DATE(2027, 12, 1), 'Gastos e Ingresos 2027'!$A:$A, "&lt;"&amp;DATE(2027, 13, 1)), "")</f>
        <v/>
      </c>
      <c r="M14" s="75">
        <f>IF(COUNTIFS('Gastos e Ingresos 2027'!$A:$A, "&gt;="&amp;DATE(2027, 12, 1), 'Gastos e Ingresos 2027'!$A:$A, "&lt;"&amp;DATE(2027, 13, 1))&gt;0, SUMIFS('Gastos e Ingresos 2027'!$E:$E, 'Gastos e Ingresos 2027'!$D:$D, "Gasto", 'Gastos e Ingresos 2027'!$C:$C, M$2, 'Gastos e Ingresos 2027'!$A:$A, "&gt;="&amp;DATE(2027, 12, 1), 'Gastos e Ingresos 2027'!$A:$A, "&lt;"&amp;DATE(2027, 13, 1)), "")</f>
        <v/>
      </c>
      <c r="N14" s="75">
        <f>IF(COUNTIFS('Gastos e Ingresos 2027'!$A:$A, "&gt;="&amp;DATE(2027, 12, 1), 'Gastos e Ingresos 2027'!$A:$A, "&lt;"&amp;DATE(2027, 13, 1))&gt;0, SUMIFS('Gastos e Ingresos 2027'!$E:$E, 'Gastos e Ingresos 2027'!$D:$D, "Gasto", 'Gastos e Ingresos 2027'!$C:$C, N$2, 'Gastos e Ingresos 2027'!$A:$A, "&gt;="&amp;DATE(2027, 12, 1), 'Gastos e Ingresos 2027'!$A:$A, "&lt;"&amp;DATE(2027, 13, 1)), "")</f>
        <v/>
      </c>
      <c r="O14" s="75">
        <f>IF(COUNTIFS('Gastos e Ingresos 2027'!$A:$A, "&gt;="&amp;DATE(2027, 12, 1), 'Gastos e Ingresos 2027'!$A:$A, "&lt;"&amp;DATE(2027, 13, 1))&gt;0, SUMIFS('Gastos e Ingresos 2027'!$E:$E, 'Gastos e Ingresos 2027'!$D:$D, "Gasto", 'Gastos e Ingresos 2027'!$C:$C, O$2, 'Gastos e Ingresos 2027'!$A:$A, "&gt;="&amp;DATE(2027, 12, 1), 'Gastos e Ingresos 2027'!$A:$A, "&lt;"&amp;DATE(2027, 13, 1)), "")</f>
        <v/>
      </c>
      <c r="P14" s="75">
        <f>IF(COUNTIFS('Gastos e Ingresos 2027'!$A:$A, "&gt;="&amp;DATE(2027, 12, 1), 'Gastos e Ingresos 2027'!$A:$A, "&lt;"&amp;DATE(2027, 13, 1))&gt;0, SUMIFS('Gastos e Ingresos 2027'!$E:$E, 'Gastos e Ingresos 2027'!$D:$D, "Gasto", 'Gastos e Ingresos 2027'!$C:$C, P$2, 'Gastos e Ingresos 2027'!$A:$A, "&gt;="&amp;DATE(2027, 12, 1), 'Gastos e Ingresos 2027'!$A:$A, "&lt;"&amp;DATE(2027, 13, 1)), "")</f>
        <v/>
      </c>
      <c r="Q14" s="75">
        <f>IF(COUNTIFS('Gastos e Ingresos 2027'!$A:$A, "&gt;="&amp;DATE(2027, 12, 1), 'Gastos e Ingresos 2027'!$A:$A, "&lt;"&amp;DATE(2027, 13, 1))&gt;0, SUMIFS('Gastos e Ingresos 2027'!$E:$E, 'Gastos e Ingresos 2027'!$D:$D, "Gasto", 'Gastos e Ingresos 2027'!$C:$C, Q$2, 'Gastos e Ingresos 2027'!$A:$A, "&gt;="&amp;DATE(2027, 12, 1), 'Gastos e Ingresos 2027'!$A:$A, "&lt;"&amp;DATE(2027, 13, 1)), "")</f>
        <v/>
      </c>
      <c r="R14" s="75">
        <f>IF(COUNTIFS('Gastos e Ingresos 2027'!$A:$A, "&gt;="&amp;DATE(2027, 12, 1), 'Gastos e Ingresos 2027'!$A:$A, "&lt;"&amp;DATE(2027, 13, 1))&gt;0, SUMIFS('Gastos e Ingresos 2027'!$E:$E, 'Gastos e Ingresos 2027'!$D:$D, "Gasto", 'Gastos e Ingresos 2027'!$C:$C, R$2, 'Gastos e Ingresos 2027'!$A:$A, "&gt;="&amp;DATE(2027, 12, 1), 'Gastos e Ingresos 2027'!$A:$A, "&lt;"&amp;DATE(2027, 13, 1)), "")</f>
        <v/>
      </c>
    </row>
    <row r="15" ht="26" customHeight="1" s="18">
      <c r="A15" s="99" t="inlineStr">
        <is>
          <t>Total Anual</t>
        </is>
      </c>
      <c r="B15" s="86">
        <f>SUM(B3:B14)</f>
        <v/>
      </c>
      <c r="C15" s="86">
        <f>SUM(C3:C14)</f>
        <v/>
      </c>
      <c r="D15" s="86">
        <f>B15-C15</f>
        <v/>
      </c>
      <c r="E15" s="100">
        <f>IF(B15&gt;0, D15/B15, 0)</f>
        <v/>
      </c>
      <c r="F15" s="86">
        <f>SUM(F3:F14)</f>
        <v/>
      </c>
      <c r="G15" s="86">
        <f>SUM(G3:G14)</f>
        <v/>
      </c>
      <c r="H15" s="86">
        <f>SUM(H3:H14)</f>
        <v/>
      </c>
      <c r="I15" s="86">
        <f>SUM(I3:I14)</f>
        <v/>
      </c>
      <c r="J15" s="86">
        <f>SUM(J3:J14)</f>
        <v/>
      </c>
      <c r="K15" s="86">
        <f>SUM(K3:K14)</f>
        <v/>
      </c>
      <c r="L15" s="86">
        <f>SUM(L3:L14)</f>
        <v/>
      </c>
      <c r="M15" s="86">
        <f>SUM(M3:M14)</f>
        <v/>
      </c>
      <c r="N15" s="86">
        <f>SUM(N3:N14)</f>
        <v/>
      </c>
      <c r="O15" s="86">
        <f>SUM(O3:O14)</f>
        <v/>
      </c>
      <c r="P15" s="86">
        <f>SUM(P3:P14)</f>
        <v/>
      </c>
      <c r="Q15" s="86">
        <f>SUM(Q3:Q14)</f>
        <v/>
      </c>
      <c r="R15" s="86">
        <f>SUM(R3:R14)</f>
        <v/>
      </c>
    </row>
  </sheetData>
  <conditionalFormatting sqref="D3:D14">
    <cfRule type="cellIs" priority="1" operator="greaterThanOrEqual" dxfId="7">
      <formula>0</formula>
    </cfRule>
    <cfRule type="cellIs" priority="2" operator="lessThan" dxfId="8">
      <formula>0</formula>
    </cfRule>
    <cfRule type="cellIs" priority="1" operator="greaterThanOrEqual" dxfId="7">
      <formula>0</formula>
    </cfRule>
    <cfRule type="cellIs" priority="2" operator="lessThan" dxfId="8">
      <formula>0</formula>
    </cfRule>
  </conditionalFormatting>
  <conditionalFormatting sqref="D15">
    <cfRule type="cellIs" priority="1" operator="greaterThanOrEqual" dxfId="7">
      <formula>0</formula>
    </cfRule>
    <cfRule type="cellIs" priority="2" operator="lessThan" dxfId="8">
      <formula>0</formula>
    </cfRule>
    <cfRule type="cellIs" priority="1" operator="greaterThanOrEqual" dxfId="7">
      <formula>0</formula>
    </cfRule>
    <cfRule type="cellIs" priority="2" operator="lessThan" dxfId="8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9"/>
  <sheetViews>
    <sheetView showGridLines="1" workbookViewId="0">
      <selection activeCell="A1" sqref="A1"/>
    </sheetView>
  </sheetViews>
  <sheetFormatPr baseColWidth="8" defaultRowHeight="15" outlineLevelCol="0"/>
  <cols>
    <col width="18" customWidth="1" style="18" min="1" max="1"/>
    <col width="32" customWidth="1" style="18" min="2" max="2"/>
    <col width="24" customWidth="1" style="18" min="3" max="3"/>
    <col width="16" customWidth="1" style="18" min="4" max="4"/>
    <col width="20" customWidth="1" style="18" min="5" max="5"/>
  </cols>
  <sheetData>
    <row r="1" ht="30" customHeight="1" s="18">
      <c r="A1" s="65" t="inlineStr">
        <is>
          <t>Fecha</t>
        </is>
      </c>
      <c r="B1" s="65" t="inlineStr">
        <is>
          <t>Descripción</t>
        </is>
      </c>
      <c r="C1" s="65" t="inlineStr">
        <is>
          <t>Categoría</t>
        </is>
      </c>
      <c r="D1" s="65" t="inlineStr">
        <is>
          <t>Tipo</t>
        </is>
      </c>
      <c r="E1" s="65" t="inlineStr">
        <is>
          <t>Importe (€)</t>
        </is>
      </c>
    </row>
    <row r="2" ht="25" customHeight="1" s="18">
      <c r="A2" s="101" t="n">
        <v>46389</v>
      </c>
      <c r="B2" s="89" t="inlineStr">
        <is>
          <t>Nómina ejemplo</t>
        </is>
      </c>
      <c r="C2" s="74" t="inlineStr">
        <is>
          <t>Nómina</t>
        </is>
      </c>
      <c r="D2" s="74" t="inlineStr">
        <is>
          <t>Ingreso</t>
        </is>
      </c>
      <c r="E2" s="75" t="n">
        <v>2000</v>
      </c>
    </row>
    <row r="3" ht="25" customHeight="1" s="18">
      <c r="A3" s="102" t="n">
        <v>46390</v>
      </c>
      <c r="B3" s="66" t="inlineStr">
        <is>
          <t>Alquiler vivienda</t>
        </is>
      </c>
      <c r="C3" s="77" t="inlineStr">
        <is>
          <t>Vivienda</t>
        </is>
      </c>
      <c r="D3" s="77" t="inlineStr">
        <is>
          <t>Gasto</t>
        </is>
      </c>
      <c r="E3" s="78" t="n">
        <v>450</v>
      </c>
    </row>
    <row r="4" ht="25" customHeight="1" s="18">
      <c r="A4" s="101" t="n"/>
      <c r="B4" s="89" t="n"/>
      <c r="C4" s="74" t="n"/>
      <c r="D4" s="74" t="n"/>
      <c r="E4" s="75" t="n"/>
    </row>
    <row r="5" ht="25" customHeight="1" s="18">
      <c r="A5" s="102" t="n"/>
      <c r="B5" s="66" t="n"/>
      <c r="C5" s="77" t="n"/>
      <c r="D5" s="77" t="n"/>
      <c r="E5" s="78" t="n"/>
    </row>
    <row r="6" ht="25" customHeight="1" s="18">
      <c r="A6" s="101" t="n"/>
      <c r="B6" s="89" t="n"/>
      <c r="C6" s="74" t="n"/>
      <c r="D6" s="74" t="n"/>
      <c r="E6" s="75" t="n"/>
    </row>
    <row r="7" ht="25" customHeight="1" s="18">
      <c r="A7" s="102" t="n"/>
      <c r="B7" s="66" t="n"/>
      <c r="C7" s="77" t="n"/>
      <c r="D7" s="77" t="n"/>
      <c r="E7" s="78" t="n"/>
    </row>
    <row r="8" ht="25" customHeight="1" s="18">
      <c r="A8" s="101" t="n"/>
      <c r="B8" s="89" t="n"/>
      <c r="C8" s="74" t="n"/>
      <c r="D8" s="74" t="n"/>
      <c r="E8" s="75" t="n"/>
    </row>
    <row r="9" ht="25" customHeight="1" s="18">
      <c r="A9" s="102" t="n"/>
      <c r="B9" s="66" t="n"/>
      <c r="C9" s="77" t="n"/>
      <c r="D9" s="77" t="n"/>
      <c r="E9" s="78" t="n"/>
    </row>
    <row r="10" ht="25" customHeight="1" s="18">
      <c r="A10" s="101" t="n"/>
      <c r="B10" s="89" t="n"/>
      <c r="C10" s="74" t="n"/>
      <c r="D10" s="74" t="n"/>
      <c r="E10" s="75" t="n"/>
    </row>
    <row r="11" ht="25" customHeight="1" s="18">
      <c r="A11" s="102" t="n"/>
      <c r="B11" s="66" t="n"/>
      <c r="C11" s="77" t="n"/>
      <c r="D11" s="77" t="n"/>
      <c r="E11" s="78" t="n"/>
    </row>
    <row r="12" ht="25" customHeight="1" s="18">
      <c r="A12" s="101" t="n"/>
      <c r="B12" s="89" t="n"/>
      <c r="C12" s="74" t="n"/>
      <c r="D12" s="74" t="n"/>
      <c r="E12" s="75" t="n"/>
    </row>
    <row r="13" ht="25" customHeight="1" s="18">
      <c r="A13" s="102" t="n"/>
      <c r="B13" s="66" t="n"/>
      <c r="C13" s="77" t="n"/>
      <c r="D13" s="77" t="n"/>
      <c r="E13" s="78" t="n"/>
    </row>
    <row r="14" ht="25" customHeight="1" s="18">
      <c r="A14" s="101" t="n"/>
      <c r="B14" s="89" t="n"/>
      <c r="C14" s="74" t="n"/>
      <c r="D14" s="74" t="n"/>
      <c r="E14" s="75" t="n"/>
    </row>
    <row r="15" ht="25" customHeight="1" s="18">
      <c r="A15" s="102" t="n"/>
      <c r="B15" s="66" t="n"/>
      <c r="C15" s="77" t="n"/>
      <c r="D15" s="77" t="n"/>
      <c r="E15" s="78" t="n"/>
    </row>
    <row r="16" ht="25" customHeight="1" s="18">
      <c r="A16" s="101" t="n"/>
      <c r="B16" s="89" t="n"/>
      <c r="C16" s="74" t="n"/>
      <c r="D16" s="74" t="n"/>
      <c r="E16" s="75" t="n"/>
    </row>
    <row r="17" ht="25" customHeight="1" s="18">
      <c r="A17" s="102" t="n"/>
      <c r="B17" s="66" t="n"/>
      <c r="C17" s="77" t="n"/>
      <c r="D17" s="77" t="n"/>
      <c r="E17" s="78" t="n"/>
    </row>
    <row r="18" ht="25" customHeight="1" s="18">
      <c r="A18" s="101" t="n"/>
      <c r="B18" s="89" t="n"/>
      <c r="C18" s="74" t="n"/>
      <c r="D18" s="74" t="n"/>
      <c r="E18" s="75" t="n"/>
    </row>
    <row r="19" ht="25" customHeight="1" s="18">
      <c r="A19" s="102" t="n"/>
      <c r="B19" s="66" t="n"/>
      <c r="C19" s="77" t="n"/>
      <c r="D19" s="77" t="n"/>
      <c r="E19" s="78" t="n"/>
    </row>
    <row r="20" ht="25" customHeight="1" s="18">
      <c r="A20" s="101" t="n"/>
      <c r="B20" s="89" t="n"/>
      <c r="C20" s="74" t="n"/>
      <c r="D20" s="74" t="n"/>
      <c r="E20" s="75" t="n"/>
    </row>
    <row r="21" ht="25" customHeight="1" s="18">
      <c r="A21" s="102" t="n"/>
      <c r="B21" s="66" t="n"/>
      <c r="C21" s="77" t="n"/>
      <c r="D21" s="77" t="n"/>
      <c r="E21" s="78" t="n"/>
    </row>
    <row r="22" ht="25" customHeight="1" s="18">
      <c r="A22" s="101" t="n"/>
      <c r="B22" s="89" t="n"/>
      <c r="C22" s="74" t="n"/>
      <c r="D22" s="74" t="n"/>
      <c r="E22" s="75" t="n"/>
    </row>
    <row r="23" ht="25" customHeight="1" s="18">
      <c r="A23" s="102" t="n"/>
      <c r="B23" s="66" t="n"/>
      <c r="C23" s="77" t="n"/>
      <c r="D23" s="77" t="n"/>
      <c r="E23" s="78" t="n"/>
    </row>
    <row r="24" ht="25" customHeight="1" s="18">
      <c r="A24" s="101" t="n"/>
      <c r="B24" s="89" t="n"/>
      <c r="C24" s="74" t="n"/>
      <c r="D24" s="74" t="n"/>
      <c r="E24" s="75" t="n"/>
    </row>
    <row r="25" ht="25" customHeight="1" s="18">
      <c r="A25" s="102" t="n"/>
      <c r="B25" s="66" t="n"/>
      <c r="C25" s="77" t="n"/>
      <c r="D25" s="77" t="n"/>
      <c r="E25" s="78" t="n"/>
    </row>
    <row r="26" ht="25" customHeight="1" s="18">
      <c r="A26" s="101" t="n"/>
      <c r="B26" s="89" t="n"/>
      <c r="C26" s="74" t="n"/>
      <c r="D26" s="74" t="n"/>
      <c r="E26" s="75" t="n"/>
    </row>
    <row r="27" ht="25" customHeight="1" s="18">
      <c r="A27" s="102" t="n"/>
      <c r="B27" s="66" t="n"/>
      <c r="C27" s="77" t="n"/>
      <c r="D27" s="77" t="n"/>
      <c r="E27" s="78" t="n"/>
    </row>
    <row r="28" ht="25" customHeight="1" s="18">
      <c r="A28" s="101" t="n"/>
      <c r="B28" s="89" t="n"/>
      <c r="C28" s="74" t="n"/>
      <c r="D28" s="74" t="n"/>
      <c r="E28" s="75" t="n"/>
    </row>
    <row r="29" ht="25" customHeight="1" s="18">
      <c r="A29" s="102" t="n"/>
      <c r="B29" s="66" t="n"/>
      <c r="C29" s="77" t="n"/>
      <c r="D29" s="77" t="n"/>
      <c r="E29" s="78" t="n"/>
    </row>
    <row r="30" ht="25" customHeight="1" s="18">
      <c r="A30" s="101" t="n"/>
      <c r="B30" s="89" t="n"/>
      <c r="C30" s="74" t="n"/>
      <c r="D30" s="74" t="n"/>
      <c r="E30" s="75" t="n"/>
    </row>
    <row r="31" ht="25" customHeight="1" s="18">
      <c r="A31" s="102" t="n"/>
      <c r="B31" s="66" t="n"/>
      <c r="C31" s="77" t="n"/>
      <c r="D31" s="77" t="n"/>
      <c r="E31" s="78" t="n"/>
    </row>
    <row r="32" ht="25" customHeight="1" s="18">
      <c r="A32" s="101" t="n"/>
      <c r="B32" s="89" t="n"/>
      <c r="C32" s="74" t="n"/>
      <c r="D32" s="74" t="n"/>
      <c r="E32" s="75" t="n"/>
    </row>
    <row r="33" ht="25" customHeight="1" s="18">
      <c r="A33" s="102" t="n"/>
      <c r="B33" s="66" t="n"/>
      <c r="C33" s="77" t="n"/>
      <c r="D33" s="77" t="n"/>
      <c r="E33" s="78" t="n"/>
    </row>
    <row r="34" ht="25" customHeight="1" s="18">
      <c r="A34" s="101" t="n"/>
      <c r="B34" s="89" t="n"/>
      <c r="C34" s="74" t="n"/>
      <c r="D34" s="74" t="n"/>
      <c r="E34" s="75" t="n"/>
    </row>
    <row r="35" ht="25" customHeight="1" s="18">
      <c r="A35" s="102" t="n"/>
      <c r="B35" s="66" t="n"/>
      <c r="C35" s="77" t="n"/>
      <c r="D35" s="77" t="n"/>
      <c r="E35" s="78" t="n"/>
    </row>
    <row r="36" ht="25" customHeight="1" s="18">
      <c r="A36" s="101" t="n"/>
      <c r="B36" s="89" t="n"/>
      <c r="C36" s="74" t="n"/>
      <c r="D36" s="74" t="n"/>
      <c r="E36" s="75" t="n"/>
    </row>
    <row r="37" ht="25" customHeight="1" s="18">
      <c r="A37" s="102" t="n"/>
      <c r="B37" s="66" t="n"/>
      <c r="C37" s="77" t="n"/>
      <c r="D37" s="77" t="n"/>
      <c r="E37" s="78" t="n"/>
    </row>
    <row r="38" ht="25" customHeight="1" s="18">
      <c r="A38" s="101" t="n"/>
      <c r="B38" s="89" t="n"/>
      <c r="C38" s="74" t="n"/>
      <c r="D38" s="74" t="n"/>
      <c r="E38" s="75" t="n"/>
    </row>
    <row r="39" ht="25" customHeight="1" s="18">
      <c r="A39" s="102" t="n"/>
      <c r="B39" s="66" t="n"/>
      <c r="C39" s="77" t="n"/>
      <c r="D39" s="77" t="n"/>
      <c r="E39" s="78" t="n"/>
    </row>
    <row r="40" ht="25" customHeight="1" s="18">
      <c r="A40" s="101" t="n"/>
      <c r="B40" s="89" t="n"/>
      <c r="C40" s="74" t="n"/>
      <c r="D40" s="74" t="n"/>
      <c r="E40" s="75" t="n"/>
    </row>
    <row r="41" ht="25" customHeight="1" s="18">
      <c r="A41" s="102" t="n"/>
      <c r="B41" s="66" t="n"/>
      <c r="C41" s="77" t="n"/>
      <c r="D41" s="77" t="n"/>
      <c r="E41" s="78" t="n"/>
    </row>
    <row r="42" ht="25" customHeight="1" s="18">
      <c r="A42" s="101" t="n"/>
      <c r="B42" s="89" t="n"/>
      <c r="C42" s="74" t="n"/>
      <c r="D42" s="74" t="n"/>
      <c r="E42" s="75" t="n"/>
    </row>
    <row r="43" ht="25" customHeight="1" s="18">
      <c r="A43" s="102" t="n"/>
      <c r="B43" s="66" t="n"/>
      <c r="C43" s="77" t="n"/>
      <c r="D43" s="77" t="n"/>
      <c r="E43" s="78" t="n"/>
    </row>
    <row r="44" ht="25" customHeight="1" s="18">
      <c r="A44" s="101" t="n"/>
      <c r="B44" s="89" t="n"/>
      <c r="C44" s="74" t="n"/>
      <c r="D44" s="74" t="n"/>
      <c r="E44" s="75" t="n"/>
    </row>
    <row r="45" ht="25" customHeight="1" s="18">
      <c r="A45" s="102" t="n"/>
      <c r="B45" s="66" t="n"/>
      <c r="C45" s="77" t="n"/>
      <c r="D45" s="77" t="n"/>
      <c r="E45" s="78" t="n"/>
    </row>
    <row r="46" ht="25" customHeight="1" s="18">
      <c r="A46" s="101" t="n"/>
      <c r="B46" s="89" t="n"/>
      <c r="C46" s="74" t="n"/>
      <c r="D46" s="74" t="n"/>
      <c r="E46" s="75" t="n"/>
    </row>
    <row r="47" ht="25" customHeight="1" s="18">
      <c r="A47" s="102" t="n"/>
      <c r="B47" s="66" t="n"/>
      <c r="C47" s="77" t="n"/>
      <c r="D47" s="77" t="n"/>
      <c r="E47" s="78" t="n"/>
    </row>
    <row r="48" ht="25" customHeight="1" s="18">
      <c r="A48" s="101" t="n"/>
      <c r="B48" s="89" t="n"/>
      <c r="C48" s="74" t="n"/>
      <c r="D48" s="74" t="n"/>
      <c r="E48" s="75" t="n"/>
    </row>
    <row r="49" ht="25" customHeight="1" s="18">
      <c r="A49" s="102" t="n"/>
      <c r="B49" s="66" t="n"/>
      <c r="C49" s="77" t="n"/>
      <c r="D49" s="77" t="n"/>
      <c r="E49" s="78" t="n"/>
    </row>
    <row r="50" ht="25" customHeight="1" s="18">
      <c r="A50" s="101" t="n"/>
      <c r="B50" s="89" t="n"/>
      <c r="C50" s="74" t="n"/>
      <c r="D50" s="74" t="n"/>
      <c r="E50" s="75" t="n"/>
    </row>
    <row r="51" ht="25" customHeight="1" s="18">
      <c r="A51" s="102" t="n"/>
      <c r="B51" s="66" t="n"/>
      <c r="C51" s="77" t="n"/>
      <c r="D51" s="77" t="n"/>
      <c r="E51" s="78" t="n"/>
    </row>
    <row r="52" ht="25" customHeight="1" s="18">
      <c r="A52" s="101" t="n"/>
      <c r="B52" s="89" t="n"/>
      <c r="C52" s="74" t="n"/>
      <c r="D52" s="74" t="n"/>
      <c r="E52" s="75" t="n"/>
    </row>
    <row r="53" ht="25" customHeight="1" s="18">
      <c r="A53" s="102" t="n"/>
      <c r="B53" s="66" t="n"/>
      <c r="C53" s="77" t="n"/>
      <c r="D53" s="77" t="n"/>
      <c r="E53" s="78" t="n"/>
    </row>
    <row r="54" ht="25" customHeight="1" s="18">
      <c r="A54" s="101" t="n"/>
      <c r="B54" s="89" t="n"/>
      <c r="C54" s="74" t="n"/>
      <c r="D54" s="74" t="n"/>
      <c r="E54" s="75" t="n"/>
    </row>
    <row r="55" ht="25" customHeight="1" s="18">
      <c r="A55" s="102" t="n"/>
      <c r="B55" s="66" t="n"/>
      <c r="C55" s="77" t="n"/>
      <c r="D55" s="77" t="n"/>
      <c r="E55" s="78" t="n"/>
    </row>
    <row r="56" ht="25" customHeight="1" s="18">
      <c r="A56" s="101" t="n"/>
      <c r="B56" s="89" t="n"/>
      <c r="C56" s="74" t="n"/>
      <c r="D56" s="74" t="n"/>
      <c r="E56" s="75" t="n"/>
    </row>
    <row r="57" ht="25" customHeight="1" s="18">
      <c r="A57" s="102" t="n"/>
      <c r="B57" s="66" t="n"/>
      <c r="C57" s="77" t="n"/>
      <c r="D57" s="77" t="n"/>
      <c r="E57" s="78" t="n"/>
    </row>
    <row r="58" ht="25" customHeight="1" s="18">
      <c r="A58" s="101" t="n"/>
      <c r="B58" s="89" t="n"/>
      <c r="C58" s="74" t="n"/>
      <c r="D58" s="74" t="n"/>
      <c r="E58" s="75" t="n"/>
    </row>
    <row r="59" ht="25" customHeight="1" s="18">
      <c r="A59" s="102" t="n"/>
      <c r="B59" s="66" t="n"/>
      <c r="C59" s="77" t="n"/>
      <c r="D59" s="77" t="n"/>
      <c r="E59" s="78" t="n"/>
    </row>
    <row r="60" ht="25" customHeight="1" s="18">
      <c r="A60" s="101" t="n"/>
      <c r="B60" s="89" t="n"/>
      <c r="C60" s="74" t="n"/>
      <c r="D60" s="74" t="n"/>
      <c r="E60" s="75" t="n"/>
    </row>
    <row r="61" ht="25" customHeight="1" s="18">
      <c r="A61" s="102" t="n"/>
      <c r="B61" s="66" t="n"/>
      <c r="C61" s="77" t="n"/>
      <c r="D61" s="77" t="n"/>
      <c r="E61" s="78" t="n"/>
    </row>
    <row r="62" ht="25" customHeight="1" s="18">
      <c r="A62" s="101" t="n"/>
      <c r="B62" s="89" t="n"/>
      <c r="C62" s="74" t="n"/>
      <c r="D62" s="74" t="n"/>
      <c r="E62" s="75" t="n"/>
    </row>
    <row r="63" ht="25" customHeight="1" s="18">
      <c r="A63" s="102" t="n"/>
      <c r="B63" s="66" t="n"/>
      <c r="C63" s="77" t="n"/>
      <c r="D63" s="77" t="n"/>
      <c r="E63" s="78" t="n"/>
    </row>
    <row r="64" ht="25" customHeight="1" s="18">
      <c r="A64" s="101" t="n"/>
      <c r="B64" s="89" t="n"/>
      <c r="C64" s="74" t="n"/>
      <c r="D64" s="74" t="n"/>
      <c r="E64" s="75" t="n"/>
    </row>
    <row r="65" ht="25" customHeight="1" s="18">
      <c r="A65" s="102" t="n"/>
      <c r="B65" s="66" t="n"/>
      <c r="C65" s="77" t="n"/>
      <c r="D65" s="77" t="n"/>
      <c r="E65" s="78" t="n"/>
    </row>
    <row r="66" ht="25" customHeight="1" s="18">
      <c r="A66" s="101" t="n"/>
      <c r="B66" s="89" t="n"/>
      <c r="C66" s="74" t="n"/>
      <c r="D66" s="74" t="n"/>
      <c r="E66" s="75" t="n"/>
    </row>
    <row r="67" ht="25" customHeight="1" s="18">
      <c r="A67" s="102" t="n"/>
      <c r="B67" s="66" t="n"/>
      <c r="C67" s="77" t="n"/>
      <c r="D67" s="77" t="n"/>
      <c r="E67" s="78" t="n"/>
    </row>
    <row r="68" ht="25" customHeight="1" s="18">
      <c r="A68" s="101" t="n"/>
      <c r="B68" s="89" t="n"/>
      <c r="C68" s="74" t="n"/>
      <c r="D68" s="74" t="n"/>
      <c r="E68" s="75" t="n"/>
    </row>
    <row r="69" ht="25" customHeight="1" s="18">
      <c r="A69" s="102" t="n"/>
      <c r="B69" s="66" t="n"/>
      <c r="C69" s="77" t="n"/>
      <c r="D69" s="77" t="n"/>
      <c r="E69" s="78" t="n"/>
    </row>
    <row r="70" ht="25" customHeight="1" s="18">
      <c r="A70" s="101" t="n"/>
      <c r="B70" s="89" t="n"/>
      <c r="C70" s="74" t="n"/>
      <c r="D70" s="74" t="n"/>
      <c r="E70" s="75" t="n"/>
    </row>
    <row r="71" ht="25" customHeight="1" s="18">
      <c r="A71" s="102" t="n"/>
      <c r="B71" s="66" t="n"/>
      <c r="C71" s="77" t="n"/>
      <c r="D71" s="77" t="n"/>
      <c r="E71" s="78" t="n"/>
    </row>
    <row r="72" ht="25" customHeight="1" s="18">
      <c r="A72" s="101" t="n"/>
      <c r="B72" s="89" t="n"/>
      <c r="C72" s="74" t="n"/>
      <c r="D72" s="74" t="n"/>
      <c r="E72" s="75" t="n"/>
    </row>
    <row r="73" ht="25" customHeight="1" s="18">
      <c r="A73" s="102" t="n"/>
      <c r="B73" s="66" t="n"/>
      <c r="C73" s="77" t="n"/>
      <c r="D73" s="77" t="n"/>
      <c r="E73" s="78" t="n"/>
    </row>
    <row r="74" ht="25" customHeight="1" s="18">
      <c r="A74" s="101" t="n"/>
      <c r="B74" s="89" t="n"/>
      <c r="C74" s="74" t="n"/>
      <c r="D74" s="74" t="n"/>
      <c r="E74" s="75" t="n"/>
    </row>
    <row r="75" ht="25" customHeight="1" s="18">
      <c r="A75" s="102" t="n"/>
      <c r="B75" s="66" t="n"/>
      <c r="C75" s="77" t="n"/>
      <c r="D75" s="77" t="n"/>
      <c r="E75" s="78" t="n"/>
    </row>
    <row r="76" ht="25" customHeight="1" s="18">
      <c r="A76" s="101" t="n"/>
      <c r="B76" s="89" t="n"/>
      <c r="C76" s="74" t="n"/>
      <c r="D76" s="74" t="n"/>
      <c r="E76" s="75" t="n"/>
    </row>
    <row r="77" ht="25" customHeight="1" s="18">
      <c r="A77" s="102" t="n"/>
      <c r="B77" s="66" t="n"/>
      <c r="C77" s="77" t="n"/>
      <c r="D77" s="77" t="n"/>
      <c r="E77" s="78" t="n"/>
    </row>
    <row r="78" ht="25" customHeight="1" s="18">
      <c r="A78" s="101" t="n"/>
      <c r="B78" s="89" t="n"/>
      <c r="C78" s="74" t="n"/>
      <c r="D78" s="74" t="n"/>
      <c r="E78" s="75" t="n"/>
    </row>
    <row r="79" ht="25" customHeight="1" s="18">
      <c r="A79" s="102" t="n"/>
      <c r="B79" s="66" t="n"/>
      <c r="C79" s="77" t="n"/>
      <c r="D79" s="77" t="n"/>
      <c r="E79" s="78" t="n"/>
    </row>
    <row r="80" ht="25" customHeight="1" s="18">
      <c r="A80" s="101" t="n"/>
      <c r="B80" s="89" t="n"/>
      <c r="C80" s="74" t="n"/>
      <c r="D80" s="74" t="n"/>
      <c r="E80" s="75" t="n"/>
    </row>
    <row r="81" ht="25" customHeight="1" s="18">
      <c r="A81" s="102" t="n"/>
      <c r="B81" s="66" t="n"/>
      <c r="C81" s="77" t="n"/>
      <c r="D81" s="77" t="n"/>
      <c r="E81" s="78" t="n"/>
    </row>
    <row r="82" ht="25" customHeight="1" s="18">
      <c r="A82" s="101" t="n"/>
      <c r="B82" s="89" t="n"/>
      <c r="C82" s="74" t="n"/>
      <c r="D82" s="74" t="n"/>
      <c r="E82" s="75" t="n"/>
    </row>
    <row r="83" ht="25" customHeight="1" s="18">
      <c r="A83" s="102" t="n"/>
      <c r="B83" s="66" t="n"/>
      <c r="C83" s="77" t="n"/>
      <c r="D83" s="77" t="n"/>
      <c r="E83" s="78" t="n"/>
    </row>
    <row r="84" ht="25" customHeight="1" s="18">
      <c r="A84" s="101" t="n"/>
      <c r="B84" s="89" t="n"/>
      <c r="C84" s="74" t="n"/>
      <c r="D84" s="74" t="n"/>
      <c r="E84" s="75" t="n"/>
    </row>
    <row r="85" ht="25" customHeight="1" s="18">
      <c r="A85" s="102" t="n"/>
      <c r="B85" s="66" t="n"/>
      <c r="C85" s="77" t="n"/>
      <c r="D85" s="77" t="n"/>
      <c r="E85" s="78" t="n"/>
    </row>
    <row r="86" ht="25" customHeight="1" s="18">
      <c r="A86" s="101" t="n"/>
      <c r="B86" s="89" t="n"/>
      <c r="C86" s="74" t="n"/>
      <c r="D86" s="74" t="n"/>
      <c r="E86" s="75" t="n"/>
    </row>
    <row r="87" ht="25" customHeight="1" s="18">
      <c r="A87" s="102" t="n"/>
      <c r="B87" s="66" t="n"/>
      <c r="C87" s="77" t="n"/>
      <c r="D87" s="77" t="n"/>
      <c r="E87" s="78" t="n"/>
    </row>
    <row r="88" ht="25" customHeight="1" s="18">
      <c r="A88" s="101" t="n"/>
      <c r="B88" s="89" t="n"/>
      <c r="C88" s="74" t="n"/>
      <c r="D88" s="74" t="n"/>
      <c r="E88" s="75" t="n"/>
    </row>
    <row r="89" ht="25" customHeight="1" s="18">
      <c r="A89" s="102" t="n"/>
      <c r="B89" s="66" t="n"/>
      <c r="C89" s="77" t="n"/>
      <c r="D89" s="77" t="n"/>
      <c r="E89" s="78" t="n"/>
    </row>
    <row r="90" ht="25" customHeight="1" s="18">
      <c r="A90" s="101" t="n"/>
      <c r="B90" s="89" t="n"/>
      <c r="C90" s="74" t="n"/>
      <c r="D90" s="74" t="n"/>
      <c r="E90" s="75" t="n"/>
    </row>
    <row r="91" ht="25" customHeight="1" s="18">
      <c r="A91" s="102" t="n"/>
      <c r="B91" s="66" t="n"/>
      <c r="C91" s="77" t="n"/>
      <c r="D91" s="77" t="n"/>
      <c r="E91" s="78" t="n"/>
    </row>
    <row r="92" ht="25" customHeight="1" s="18">
      <c r="A92" s="101" t="n"/>
      <c r="B92" s="89" t="n"/>
      <c r="C92" s="74" t="n"/>
      <c r="D92" s="74" t="n"/>
      <c r="E92" s="75" t="n"/>
    </row>
    <row r="93" ht="25" customHeight="1" s="18">
      <c r="A93" s="102" t="n"/>
      <c r="B93" s="66" t="n"/>
      <c r="C93" s="77" t="n"/>
      <c r="D93" s="77" t="n"/>
      <c r="E93" s="78" t="n"/>
    </row>
    <row r="94" ht="25" customHeight="1" s="18">
      <c r="A94" s="101" t="n"/>
      <c r="B94" s="89" t="n"/>
      <c r="C94" s="74" t="n"/>
      <c r="D94" s="74" t="n"/>
      <c r="E94" s="75" t="n"/>
    </row>
    <row r="95" ht="25" customHeight="1" s="18">
      <c r="A95" s="102" t="n"/>
      <c r="B95" s="66" t="n"/>
      <c r="C95" s="77" t="n"/>
      <c r="D95" s="77" t="n"/>
      <c r="E95" s="78" t="n"/>
    </row>
    <row r="96" ht="25" customHeight="1" s="18">
      <c r="A96" s="101" t="n"/>
      <c r="B96" s="89" t="n"/>
      <c r="C96" s="74" t="n"/>
      <c r="D96" s="74" t="n"/>
      <c r="E96" s="75" t="n"/>
    </row>
    <row r="97" ht="25" customHeight="1" s="18">
      <c r="A97" s="102" t="n"/>
      <c r="B97" s="66" t="n"/>
      <c r="C97" s="77" t="n"/>
      <c r="D97" s="77" t="n"/>
      <c r="E97" s="78" t="n"/>
    </row>
    <row r="98" ht="25" customHeight="1" s="18">
      <c r="A98" s="101" t="n"/>
      <c r="B98" s="89" t="n"/>
      <c r="C98" s="74" t="n"/>
      <c r="D98" s="74" t="n"/>
      <c r="E98" s="75" t="n"/>
    </row>
    <row r="99" ht="25" customHeight="1" s="18">
      <c r="A99" s="102" t="n"/>
      <c r="B99" s="66" t="n"/>
      <c r="C99" s="77" t="n"/>
      <c r="D99" s="77" t="n"/>
      <c r="E99" s="78" t="n"/>
    </row>
    <row r="100" ht="25" customHeight="1" s="18">
      <c r="A100" s="101" t="n"/>
      <c r="B100" s="89" t="n"/>
      <c r="C100" s="74" t="n"/>
      <c r="D100" s="74" t="n"/>
      <c r="E100" s="75" t="n"/>
    </row>
    <row r="101" ht="25" customHeight="1" s="18">
      <c r="A101" s="102" t="n"/>
      <c r="B101" s="66" t="n"/>
      <c r="C101" s="77" t="n"/>
      <c r="D101" s="77" t="n"/>
      <c r="E101" s="78" t="n"/>
    </row>
    <row r="102" ht="25" customHeight="1" s="18">
      <c r="A102" s="101" t="n"/>
      <c r="B102" s="89" t="n"/>
      <c r="C102" s="74" t="n"/>
      <c r="D102" s="74" t="n"/>
      <c r="E102" s="75" t="n"/>
    </row>
    <row r="103" ht="25" customHeight="1" s="18">
      <c r="A103" s="102" t="n"/>
      <c r="B103" s="66" t="n"/>
      <c r="C103" s="77" t="n"/>
      <c r="D103" s="77" t="n"/>
      <c r="E103" s="78" t="n"/>
    </row>
    <row r="104" ht="25" customHeight="1" s="18">
      <c r="A104" s="101" t="n"/>
      <c r="B104" s="89" t="n"/>
      <c r="C104" s="74" t="n"/>
      <c r="D104" s="74" t="n"/>
      <c r="E104" s="75" t="n"/>
    </row>
    <row r="105" ht="25" customHeight="1" s="18">
      <c r="A105" s="102" t="n"/>
      <c r="B105" s="66" t="n"/>
      <c r="C105" s="77" t="n"/>
      <c r="D105" s="77" t="n"/>
      <c r="E105" s="78" t="n"/>
    </row>
    <row r="106" ht="25" customHeight="1" s="18">
      <c r="A106" s="101" t="n"/>
      <c r="B106" s="89" t="n"/>
      <c r="C106" s="74" t="n"/>
      <c r="D106" s="74" t="n"/>
      <c r="E106" s="75" t="n"/>
    </row>
    <row r="107" ht="25" customHeight="1" s="18">
      <c r="A107" s="102" t="n"/>
      <c r="B107" s="66" t="n"/>
      <c r="C107" s="77" t="n"/>
      <c r="D107" s="77" t="n"/>
      <c r="E107" s="78" t="n"/>
    </row>
    <row r="108" ht="25" customHeight="1" s="18">
      <c r="A108" s="101" t="n"/>
      <c r="B108" s="89" t="n"/>
      <c r="C108" s="74" t="n"/>
      <c r="D108" s="74" t="n"/>
      <c r="E108" s="75" t="n"/>
    </row>
    <row r="109" ht="25" customHeight="1" s="18">
      <c r="A109" s="102" t="n"/>
      <c r="B109" s="66" t="n"/>
      <c r="C109" s="77" t="n"/>
      <c r="D109" s="77" t="n"/>
      <c r="E109" s="78" t="n"/>
    </row>
    <row r="110" ht="25" customHeight="1" s="18">
      <c r="A110" s="101" t="n"/>
      <c r="B110" s="89" t="n"/>
      <c r="C110" s="74" t="n"/>
      <c r="D110" s="74" t="n"/>
      <c r="E110" s="75" t="n"/>
    </row>
    <row r="111" ht="25" customHeight="1" s="18">
      <c r="A111" s="102" t="n"/>
      <c r="B111" s="66" t="n"/>
      <c r="C111" s="77" t="n"/>
      <c r="D111" s="77" t="n"/>
      <c r="E111" s="78" t="n"/>
    </row>
    <row r="112" ht="25" customHeight="1" s="18">
      <c r="A112" s="101" t="n"/>
      <c r="B112" s="89" t="n"/>
      <c r="C112" s="74" t="n"/>
      <c r="D112" s="74" t="n"/>
      <c r="E112" s="75" t="n"/>
    </row>
    <row r="113" ht="25" customHeight="1" s="18">
      <c r="A113" s="102" t="n"/>
      <c r="B113" s="66" t="n"/>
      <c r="C113" s="77" t="n"/>
      <c r="D113" s="77" t="n"/>
      <c r="E113" s="78" t="n"/>
    </row>
    <row r="114" ht="25" customHeight="1" s="18">
      <c r="A114" s="101" t="n"/>
      <c r="B114" s="89" t="n"/>
      <c r="C114" s="74" t="n"/>
      <c r="D114" s="74" t="n"/>
      <c r="E114" s="75" t="n"/>
    </row>
    <row r="115" ht="25" customHeight="1" s="18">
      <c r="A115" s="102" t="n"/>
      <c r="B115" s="66" t="n"/>
      <c r="C115" s="77" t="n"/>
      <c r="D115" s="77" t="n"/>
      <c r="E115" s="78" t="n"/>
    </row>
    <row r="116" ht="25" customHeight="1" s="18">
      <c r="A116" s="101" t="n"/>
      <c r="B116" s="89" t="n"/>
      <c r="C116" s="74" t="n"/>
      <c r="D116" s="74" t="n"/>
      <c r="E116" s="75" t="n"/>
    </row>
    <row r="117" ht="25" customHeight="1" s="18">
      <c r="A117" s="102" t="n"/>
      <c r="B117" s="66" t="n"/>
      <c r="C117" s="77" t="n"/>
      <c r="D117" s="77" t="n"/>
      <c r="E117" s="78" t="n"/>
    </row>
    <row r="118" ht="25" customHeight="1" s="18">
      <c r="A118" s="101" t="n"/>
      <c r="B118" s="89" t="n"/>
      <c r="C118" s="74" t="n"/>
      <c r="D118" s="74" t="n"/>
      <c r="E118" s="75" t="n"/>
    </row>
    <row r="119" ht="25" customHeight="1" s="18">
      <c r="A119" s="102" t="n"/>
      <c r="B119" s="66" t="n"/>
      <c r="C119" s="77" t="n"/>
      <c r="D119" s="77" t="n"/>
      <c r="E119" s="78" t="n"/>
    </row>
    <row r="120" ht="25" customHeight="1" s="18">
      <c r="A120" s="101" t="n"/>
      <c r="B120" s="89" t="n"/>
      <c r="C120" s="74" t="n"/>
      <c r="D120" s="74" t="n"/>
      <c r="E120" s="75" t="n"/>
    </row>
    <row r="121" ht="25" customHeight="1" s="18">
      <c r="A121" s="102" t="n"/>
      <c r="B121" s="66" t="n"/>
      <c r="C121" s="77" t="n"/>
      <c r="D121" s="77" t="n"/>
      <c r="E121" s="78" t="n"/>
    </row>
    <row r="122" ht="25" customHeight="1" s="18">
      <c r="A122" s="101" t="n"/>
      <c r="B122" s="89" t="n"/>
      <c r="C122" s="74" t="n"/>
      <c r="D122" s="74" t="n"/>
      <c r="E122" s="75" t="n"/>
    </row>
    <row r="123" ht="25" customHeight="1" s="18">
      <c r="A123" s="102" t="n"/>
      <c r="B123" s="66" t="n"/>
      <c r="C123" s="77" t="n"/>
      <c r="D123" s="77" t="n"/>
      <c r="E123" s="78" t="n"/>
    </row>
    <row r="124" ht="25" customHeight="1" s="18">
      <c r="A124" s="101" t="n"/>
      <c r="B124" s="89" t="n"/>
      <c r="C124" s="74" t="n"/>
      <c r="D124" s="74" t="n"/>
      <c r="E124" s="75" t="n"/>
    </row>
    <row r="125" ht="25" customHeight="1" s="18">
      <c r="A125" s="102" t="n"/>
      <c r="B125" s="66" t="n"/>
      <c r="C125" s="77" t="n"/>
      <c r="D125" s="77" t="n"/>
      <c r="E125" s="78" t="n"/>
    </row>
    <row r="126" ht="25" customHeight="1" s="18">
      <c r="A126" s="101" t="n"/>
      <c r="B126" s="89" t="n"/>
      <c r="C126" s="74" t="n"/>
      <c r="D126" s="74" t="n"/>
      <c r="E126" s="75" t="n"/>
    </row>
    <row r="127" ht="25" customHeight="1" s="18">
      <c r="A127" s="102" t="n"/>
      <c r="B127" s="66" t="n"/>
      <c r="C127" s="77" t="n"/>
      <c r="D127" s="77" t="n"/>
      <c r="E127" s="78" t="n"/>
    </row>
    <row r="128" ht="25" customHeight="1" s="18">
      <c r="A128" s="101" t="n"/>
      <c r="B128" s="89" t="n"/>
      <c r="C128" s="74" t="n"/>
      <c r="D128" s="74" t="n"/>
      <c r="E128" s="75" t="n"/>
    </row>
    <row r="129" ht="25" customHeight="1" s="18">
      <c r="A129" s="102" t="n"/>
      <c r="B129" s="66" t="n"/>
      <c r="C129" s="77" t="n"/>
      <c r="D129" s="77" t="n"/>
      <c r="E129" s="78" t="n"/>
    </row>
    <row r="130" ht="25" customHeight="1" s="18">
      <c r="A130" s="101" t="n"/>
      <c r="B130" s="89" t="n"/>
      <c r="C130" s="74" t="n"/>
      <c r="D130" s="74" t="n"/>
      <c r="E130" s="75" t="n"/>
    </row>
    <row r="131" ht="25" customHeight="1" s="18">
      <c r="A131" s="102" t="n"/>
      <c r="B131" s="66" t="n"/>
      <c r="C131" s="77" t="n"/>
      <c r="D131" s="77" t="n"/>
      <c r="E131" s="78" t="n"/>
    </row>
    <row r="132" ht="25" customHeight="1" s="18">
      <c r="A132" s="101" t="n"/>
      <c r="B132" s="89" t="n"/>
      <c r="C132" s="74" t="n"/>
      <c r="D132" s="74" t="n"/>
      <c r="E132" s="75" t="n"/>
    </row>
    <row r="133" ht="25" customHeight="1" s="18">
      <c r="A133" s="102" t="n"/>
      <c r="B133" s="66" t="n"/>
      <c r="C133" s="77" t="n"/>
      <c r="D133" s="77" t="n"/>
      <c r="E133" s="78" t="n"/>
    </row>
    <row r="134" ht="25" customHeight="1" s="18">
      <c r="A134" s="101" t="n"/>
      <c r="B134" s="89" t="n"/>
      <c r="C134" s="74" t="n"/>
      <c r="D134" s="74" t="n"/>
      <c r="E134" s="75" t="n"/>
    </row>
    <row r="135" ht="25" customHeight="1" s="18">
      <c r="A135" s="102" t="n"/>
      <c r="B135" s="66" t="n"/>
      <c r="C135" s="77" t="n"/>
      <c r="D135" s="77" t="n"/>
      <c r="E135" s="78" t="n"/>
    </row>
    <row r="136" ht="25" customHeight="1" s="18">
      <c r="A136" s="101" t="n"/>
      <c r="B136" s="89" t="n"/>
      <c r="C136" s="74" t="n"/>
      <c r="D136" s="74" t="n"/>
      <c r="E136" s="75" t="n"/>
    </row>
    <row r="137" ht="25" customHeight="1" s="18">
      <c r="A137" s="102" t="n"/>
      <c r="B137" s="66" t="n"/>
      <c r="C137" s="77" t="n"/>
      <c r="D137" s="77" t="n"/>
      <c r="E137" s="78" t="n"/>
    </row>
    <row r="138" ht="25" customHeight="1" s="18">
      <c r="A138" s="101" t="n"/>
      <c r="B138" s="89" t="n"/>
      <c r="C138" s="74" t="n"/>
      <c r="D138" s="74" t="n"/>
      <c r="E138" s="75" t="n"/>
    </row>
    <row r="139" ht="25" customHeight="1" s="18">
      <c r="A139" s="102" t="n"/>
      <c r="B139" s="66" t="n"/>
      <c r="C139" s="77" t="n"/>
      <c r="D139" s="77" t="n"/>
      <c r="E139" s="78" t="n"/>
    </row>
    <row r="140" ht="25" customHeight="1" s="18">
      <c r="A140" s="101" t="n"/>
      <c r="B140" s="89" t="n"/>
      <c r="C140" s="74" t="n"/>
      <c r="D140" s="74" t="n"/>
      <c r="E140" s="75" t="n"/>
    </row>
    <row r="141" ht="25" customHeight="1" s="18">
      <c r="A141" s="102" t="n"/>
      <c r="B141" s="66" t="n"/>
      <c r="C141" s="77" t="n"/>
      <c r="D141" s="77" t="n"/>
      <c r="E141" s="78" t="n"/>
    </row>
    <row r="142" ht="25" customHeight="1" s="18">
      <c r="A142" s="101" t="n"/>
      <c r="B142" s="89" t="n"/>
      <c r="C142" s="74" t="n"/>
      <c r="D142" s="74" t="n"/>
      <c r="E142" s="75" t="n"/>
    </row>
    <row r="143" ht="25" customHeight="1" s="18">
      <c r="A143" s="102" t="n"/>
      <c r="B143" s="66" t="n"/>
      <c r="C143" s="77" t="n"/>
      <c r="D143" s="77" t="n"/>
      <c r="E143" s="78" t="n"/>
    </row>
    <row r="144" ht="25" customHeight="1" s="18">
      <c r="A144" s="101" t="n"/>
      <c r="B144" s="89" t="n"/>
      <c r="C144" s="74" t="n"/>
      <c r="D144" s="74" t="n"/>
      <c r="E144" s="75" t="n"/>
    </row>
    <row r="145" ht="25" customHeight="1" s="18">
      <c r="A145" s="102" t="n"/>
      <c r="B145" s="66" t="n"/>
      <c r="C145" s="77" t="n"/>
      <c r="D145" s="77" t="n"/>
      <c r="E145" s="78" t="n"/>
    </row>
    <row r="146" ht="25" customHeight="1" s="18">
      <c r="A146" s="101" t="n"/>
      <c r="B146" s="89" t="n"/>
      <c r="C146" s="74" t="n"/>
      <c r="D146" s="74" t="n"/>
      <c r="E146" s="75" t="n"/>
    </row>
    <row r="147" ht="25" customHeight="1" s="18">
      <c r="A147" s="102" t="n"/>
      <c r="B147" s="66" t="n"/>
      <c r="C147" s="77" t="n"/>
      <c r="D147" s="77" t="n"/>
      <c r="E147" s="78" t="n"/>
    </row>
    <row r="148" ht="25" customHeight="1" s="18">
      <c r="A148" s="101" t="n"/>
      <c r="B148" s="89" t="n"/>
      <c r="C148" s="74" t="n"/>
      <c r="D148" s="74" t="n"/>
      <c r="E148" s="75" t="n"/>
    </row>
    <row r="149" ht="25" customHeight="1" s="18">
      <c r="A149" s="102" t="n"/>
      <c r="B149" s="66" t="n"/>
      <c r="C149" s="77" t="n"/>
      <c r="D149" s="77" t="n"/>
      <c r="E149" s="78" t="n"/>
    </row>
    <row r="150" ht="25" customHeight="1" s="18">
      <c r="A150" s="101" t="n"/>
      <c r="B150" s="89" t="n"/>
      <c r="C150" s="74" t="n"/>
      <c r="D150" s="74" t="n"/>
      <c r="E150" s="75" t="n"/>
    </row>
    <row r="151" ht="25" customHeight="1" s="18">
      <c r="A151" s="102" t="n"/>
      <c r="B151" s="66" t="n"/>
      <c r="C151" s="77" t="n"/>
      <c r="D151" s="77" t="n"/>
      <c r="E151" s="78" t="n"/>
    </row>
    <row r="152" ht="25" customHeight="1" s="18">
      <c r="A152" s="101" t="n"/>
      <c r="B152" s="89" t="n"/>
      <c r="C152" s="74" t="n"/>
      <c r="D152" s="74" t="n"/>
      <c r="E152" s="75" t="n"/>
    </row>
    <row r="153" ht="25" customHeight="1" s="18">
      <c r="A153" s="102" t="n"/>
      <c r="B153" s="66" t="n"/>
      <c r="C153" s="77" t="n"/>
      <c r="D153" s="77" t="n"/>
      <c r="E153" s="78" t="n"/>
    </row>
    <row r="154" ht="25" customHeight="1" s="18">
      <c r="A154" s="101" t="n"/>
      <c r="B154" s="89" t="n"/>
      <c r="C154" s="74" t="n"/>
      <c r="D154" s="74" t="n"/>
      <c r="E154" s="75" t="n"/>
    </row>
    <row r="155" ht="25" customHeight="1" s="18">
      <c r="A155" s="102" t="n"/>
      <c r="B155" s="66" t="n"/>
      <c r="C155" s="77" t="n"/>
      <c r="D155" s="77" t="n"/>
      <c r="E155" s="78" t="n"/>
    </row>
    <row r="156" ht="25" customHeight="1" s="18">
      <c r="A156" s="101" t="n"/>
      <c r="B156" s="89" t="n"/>
      <c r="C156" s="74" t="n"/>
      <c r="D156" s="74" t="n"/>
      <c r="E156" s="75" t="n"/>
    </row>
    <row r="157" ht="25" customHeight="1" s="18">
      <c r="A157" s="102" t="n"/>
      <c r="B157" s="66" t="n"/>
      <c r="C157" s="77" t="n"/>
      <c r="D157" s="77" t="n"/>
      <c r="E157" s="78" t="n"/>
    </row>
    <row r="158" ht="25" customHeight="1" s="18">
      <c r="A158" s="101" t="n"/>
      <c r="B158" s="89" t="n"/>
      <c r="C158" s="74" t="n"/>
      <c r="D158" s="74" t="n"/>
      <c r="E158" s="75" t="n"/>
    </row>
    <row r="159" ht="25" customHeight="1" s="18">
      <c r="A159" s="102" t="n"/>
      <c r="B159" s="66" t="n"/>
      <c r="C159" s="77" t="n"/>
      <c r="D159" s="77" t="n"/>
      <c r="E159" s="78" t="n"/>
    </row>
    <row r="160" ht="25" customHeight="1" s="18">
      <c r="A160" s="101" t="n"/>
      <c r="B160" s="89" t="n"/>
      <c r="C160" s="74" t="n"/>
      <c r="D160" s="74" t="n"/>
      <c r="E160" s="75" t="n"/>
    </row>
    <row r="161" ht="25" customHeight="1" s="18">
      <c r="A161" s="102" t="n"/>
      <c r="B161" s="66" t="n"/>
      <c r="C161" s="77" t="n"/>
      <c r="D161" s="77" t="n"/>
      <c r="E161" s="78" t="n"/>
    </row>
    <row r="162" ht="25" customHeight="1" s="18">
      <c r="A162" s="101" t="n"/>
      <c r="B162" s="89" t="n"/>
      <c r="C162" s="74" t="n"/>
      <c r="D162" s="74" t="n"/>
      <c r="E162" s="75" t="n"/>
    </row>
    <row r="163" ht="25" customHeight="1" s="18">
      <c r="A163" s="102" t="n"/>
      <c r="B163" s="66" t="n"/>
      <c r="C163" s="77" t="n"/>
      <c r="D163" s="77" t="n"/>
      <c r="E163" s="78" t="n"/>
    </row>
    <row r="164" ht="25" customHeight="1" s="18">
      <c r="A164" s="101" t="n"/>
      <c r="B164" s="89" t="n"/>
      <c r="C164" s="74" t="n"/>
      <c r="D164" s="74" t="n"/>
      <c r="E164" s="75" t="n"/>
    </row>
    <row r="165" ht="25" customHeight="1" s="18">
      <c r="A165" s="102" t="n"/>
      <c r="B165" s="66" t="n"/>
      <c r="C165" s="77" t="n"/>
      <c r="D165" s="77" t="n"/>
      <c r="E165" s="78" t="n"/>
    </row>
    <row r="166" ht="25" customHeight="1" s="18">
      <c r="A166" s="101" t="n"/>
      <c r="B166" s="89" t="n"/>
      <c r="C166" s="74" t="n"/>
      <c r="D166" s="74" t="n"/>
      <c r="E166" s="75" t="n"/>
    </row>
    <row r="167" ht="25" customHeight="1" s="18">
      <c r="A167" s="102" t="n"/>
      <c r="B167" s="66" t="n"/>
      <c r="C167" s="77" t="n"/>
      <c r="D167" s="77" t="n"/>
      <c r="E167" s="78" t="n"/>
    </row>
    <row r="168" ht="25" customHeight="1" s="18">
      <c r="A168" s="101" t="n"/>
      <c r="B168" s="89" t="n"/>
      <c r="C168" s="74" t="n"/>
      <c r="D168" s="74" t="n"/>
      <c r="E168" s="75" t="n"/>
    </row>
    <row r="169" ht="25" customHeight="1" s="18">
      <c r="A169" s="102" t="n"/>
      <c r="B169" s="66" t="n"/>
      <c r="C169" s="77" t="n"/>
      <c r="D169" s="77" t="n"/>
      <c r="E169" s="78" t="n"/>
    </row>
    <row r="170" ht="25" customHeight="1" s="18">
      <c r="A170" s="101" t="n"/>
      <c r="B170" s="89" t="n"/>
      <c r="C170" s="74" t="n"/>
      <c r="D170" s="74" t="n"/>
      <c r="E170" s="75" t="n"/>
    </row>
    <row r="171" ht="25" customHeight="1" s="18">
      <c r="A171" s="102" t="n"/>
      <c r="B171" s="66" t="n"/>
      <c r="C171" s="77" t="n"/>
      <c r="D171" s="77" t="n"/>
      <c r="E171" s="78" t="n"/>
    </row>
    <row r="172" ht="25" customHeight="1" s="18">
      <c r="A172" s="101" t="n"/>
      <c r="B172" s="89" t="n"/>
      <c r="C172" s="74" t="n"/>
      <c r="D172" s="74" t="n"/>
      <c r="E172" s="75" t="n"/>
    </row>
    <row r="173" ht="25" customHeight="1" s="18">
      <c r="A173" s="102" t="n"/>
      <c r="B173" s="66" t="n"/>
      <c r="C173" s="77" t="n"/>
      <c r="D173" s="77" t="n"/>
      <c r="E173" s="78" t="n"/>
    </row>
    <row r="174" ht="25" customHeight="1" s="18">
      <c r="A174" s="101" t="n"/>
      <c r="B174" s="89" t="n"/>
      <c r="C174" s="74" t="n"/>
      <c r="D174" s="74" t="n"/>
      <c r="E174" s="75" t="n"/>
    </row>
    <row r="175" ht="25" customHeight="1" s="18">
      <c r="A175" s="102" t="n"/>
      <c r="B175" s="66" t="n"/>
      <c r="C175" s="77" t="n"/>
      <c r="D175" s="77" t="n"/>
      <c r="E175" s="78" t="n"/>
    </row>
    <row r="176" ht="25" customHeight="1" s="18">
      <c r="A176" s="101" t="n"/>
      <c r="B176" s="89" t="n"/>
      <c r="C176" s="74" t="n"/>
      <c r="D176" s="74" t="n"/>
      <c r="E176" s="75" t="n"/>
    </row>
    <row r="177" ht="25" customHeight="1" s="18">
      <c r="A177" s="102" t="n"/>
      <c r="B177" s="66" t="n"/>
      <c r="C177" s="77" t="n"/>
      <c r="D177" s="77" t="n"/>
      <c r="E177" s="78" t="n"/>
    </row>
    <row r="178" ht="25" customHeight="1" s="18">
      <c r="A178" s="101" t="n"/>
      <c r="B178" s="89" t="n"/>
      <c r="C178" s="74" t="n"/>
      <c r="D178" s="74" t="n"/>
      <c r="E178" s="75" t="n"/>
    </row>
    <row r="179" ht="25" customHeight="1" s="18">
      <c r="A179" s="102" t="n"/>
      <c r="B179" s="66" t="n"/>
      <c r="C179" s="77" t="n"/>
      <c r="D179" s="77" t="n"/>
      <c r="E179" s="78" t="n"/>
    </row>
    <row r="180" ht="25" customHeight="1" s="18">
      <c r="A180" s="101" t="n"/>
      <c r="B180" s="89" t="n"/>
      <c r="C180" s="74" t="n"/>
      <c r="D180" s="74" t="n"/>
      <c r="E180" s="75" t="n"/>
    </row>
    <row r="181" ht="25" customHeight="1" s="18">
      <c r="A181" s="102" t="n"/>
      <c r="B181" s="66" t="n"/>
      <c r="C181" s="77" t="n"/>
      <c r="D181" s="77" t="n"/>
      <c r="E181" s="78" t="n"/>
    </row>
    <row r="182" ht="25" customHeight="1" s="18">
      <c r="A182" s="101" t="n"/>
      <c r="B182" s="89" t="n"/>
      <c r="C182" s="74" t="n"/>
      <c r="D182" s="74" t="n"/>
      <c r="E182" s="75" t="n"/>
    </row>
    <row r="183" ht="25" customHeight="1" s="18">
      <c r="A183" s="102" t="n"/>
      <c r="B183" s="66" t="n"/>
      <c r="C183" s="77" t="n"/>
      <c r="D183" s="77" t="n"/>
      <c r="E183" s="78" t="n"/>
    </row>
    <row r="184" ht="25" customHeight="1" s="18">
      <c r="A184" s="101" t="n"/>
      <c r="B184" s="89" t="n"/>
      <c r="C184" s="74" t="n"/>
      <c r="D184" s="74" t="n"/>
      <c r="E184" s="75" t="n"/>
    </row>
    <row r="185" ht="25" customHeight="1" s="18">
      <c r="A185" s="102" t="n"/>
      <c r="B185" s="66" t="n"/>
      <c r="C185" s="77" t="n"/>
      <c r="D185" s="77" t="n"/>
      <c r="E185" s="78" t="n"/>
    </row>
    <row r="186" ht="25" customHeight="1" s="18">
      <c r="A186" s="101" t="n"/>
      <c r="B186" s="89" t="n"/>
      <c r="C186" s="74" t="n"/>
      <c r="D186" s="74" t="n"/>
      <c r="E186" s="75" t="n"/>
    </row>
    <row r="187" ht="25" customHeight="1" s="18">
      <c r="A187" s="102" t="n"/>
      <c r="B187" s="66" t="n"/>
      <c r="C187" s="77" t="n"/>
      <c r="D187" s="77" t="n"/>
      <c r="E187" s="78" t="n"/>
    </row>
    <row r="188" ht="25" customHeight="1" s="18">
      <c r="A188" s="101" t="n"/>
      <c r="B188" s="89" t="n"/>
      <c r="C188" s="74" t="n"/>
      <c r="D188" s="74" t="n"/>
      <c r="E188" s="75" t="n"/>
    </row>
    <row r="189" ht="25" customHeight="1" s="18">
      <c r="A189" s="102" t="n"/>
      <c r="B189" s="66" t="n"/>
      <c r="C189" s="77" t="n"/>
      <c r="D189" s="77" t="n"/>
      <c r="E189" s="78" t="n"/>
    </row>
    <row r="190" ht="25" customHeight="1" s="18">
      <c r="A190" s="101" t="n"/>
      <c r="B190" s="89" t="n"/>
      <c r="C190" s="74" t="n"/>
      <c r="D190" s="74" t="n"/>
      <c r="E190" s="75" t="n"/>
    </row>
    <row r="191" ht="25" customHeight="1" s="18">
      <c r="A191" s="102" t="n"/>
      <c r="B191" s="66" t="n"/>
      <c r="C191" s="77" t="n"/>
      <c r="D191" s="77" t="n"/>
      <c r="E191" s="78" t="n"/>
    </row>
    <row r="192" ht="25" customHeight="1" s="18">
      <c r="A192" s="101" t="n"/>
      <c r="B192" s="89" t="n"/>
      <c r="C192" s="74" t="n"/>
      <c r="D192" s="74" t="n"/>
      <c r="E192" s="75" t="n"/>
    </row>
    <row r="193" ht="25" customHeight="1" s="18">
      <c r="A193" s="102" t="n"/>
      <c r="B193" s="66" t="n"/>
      <c r="C193" s="77" t="n"/>
      <c r="D193" s="77" t="n"/>
      <c r="E193" s="78" t="n"/>
    </row>
    <row r="194" ht="25" customHeight="1" s="18">
      <c r="A194" s="101" t="n"/>
      <c r="B194" s="89" t="n"/>
      <c r="C194" s="74" t="n"/>
      <c r="D194" s="74" t="n"/>
      <c r="E194" s="75" t="n"/>
    </row>
    <row r="195" ht="25" customHeight="1" s="18">
      <c r="A195" s="102" t="n"/>
      <c r="B195" s="66" t="n"/>
      <c r="C195" s="77" t="n"/>
      <c r="D195" s="77" t="n"/>
      <c r="E195" s="78" t="n"/>
    </row>
    <row r="196" ht="25" customHeight="1" s="18">
      <c r="A196" s="101" t="n"/>
      <c r="B196" s="89" t="n"/>
      <c r="C196" s="74" t="n"/>
      <c r="D196" s="74" t="n"/>
      <c r="E196" s="75" t="n"/>
    </row>
    <row r="197" ht="25" customHeight="1" s="18">
      <c r="A197" s="102" t="n"/>
      <c r="B197" s="66" t="n"/>
      <c r="C197" s="77" t="n"/>
      <c r="D197" s="77" t="n"/>
      <c r="E197" s="78" t="n"/>
    </row>
    <row r="198" ht="25" customHeight="1" s="18">
      <c r="A198" s="101" t="n"/>
      <c r="B198" s="89" t="n"/>
      <c r="C198" s="74" t="n"/>
      <c r="D198" s="74" t="n"/>
      <c r="E198" s="75" t="n"/>
    </row>
    <row r="199" ht="25" customHeight="1" s="18">
      <c r="A199" s="102" t="n"/>
      <c r="B199" s="66" t="n"/>
      <c r="C199" s="77" t="n"/>
      <c r="D199" s="77" t="n"/>
      <c r="E199" s="78" t="n"/>
    </row>
    <row r="200" ht="25" customHeight="1" s="18">
      <c r="A200" s="101" t="n"/>
      <c r="B200" s="89" t="n"/>
      <c r="C200" s="74" t="n"/>
      <c r="D200" s="74" t="n"/>
      <c r="E200" s="75" t="n"/>
    </row>
    <row r="201" ht="25" customHeight="1" s="18">
      <c r="A201" s="102" t="n"/>
      <c r="B201" s="66" t="n"/>
      <c r="C201" s="77" t="n"/>
      <c r="D201" s="77" t="n"/>
      <c r="E201" s="78" t="n"/>
    </row>
    <row r="202" ht="25" customHeight="1" s="18">
      <c r="A202" s="101" t="n"/>
      <c r="B202" s="89" t="n"/>
      <c r="C202" s="74" t="n"/>
      <c r="D202" s="74" t="n"/>
      <c r="E202" s="75" t="n"/>
    </row>
    <row r="203" ht="25" customHeight="1" s="18">
      <c r="A203" s="102" t="n"/>
      <c r="B203" s="66" t="n"/>
      <c r="C203" s="77" t="n"/>
      <c r="D203" s="77" t="n"/>
      <c r="E203" s="78" t="n"/>
    </row>
    <row r="204" ht="25" customHeight="1" s="18">
      <c r="A204" s="101" t="n"/>
      <c r="B204" s="89" t="n"/>
      <c r="C204" s="74" t="n"/>
      <c r="D204" s="74" t="n"/>
      <c r="E204" s="75" t="n"/>
    </row>
    <row r="205" ht="25" customHeight="1" s="18">
      <c r="A205" s="102" t="n"/>
      <c r="B205" s="66" t="n"/>
      <c r="C205" s="77" t="n"/>
      <c r="D205" s="77" t="n"/>
      <c r="E205" s="78" t="n"/>
    </row>
    <row r="206" ht="25" customHeight="1" s="18">
      <c r="A206" s="101" t="n"/>
      <c r="B206" s="89" t="n"/>
      <c r="C206" s="74" t="n"/>
      <c r="D206" s="74" t="n"/>
      <c r="E206" s="75" t="n"/>
    </row>
    <row r="207" ht="25" customHeight="1" s="18">
      <c r="A207" s="102" t="n"/>
      <c r="B207" s="66" t="n"/>
      <c r="C207" s="77" t="n"/>
      <c r="D207" s="77" t="n"/>
      <c r="E207" s="78" t="n"/>
    </row>
    <row r="208" ht="25" customHeight="1" s="18">
      <c r="A208" s="101" t="n"/>
      <c r="B208" s="89" t="n"/>
      <c r="C208" s="74" t="n"/>
      <c r="D208" s="74" t="n"/>
      <c r="E208" s="75" t="n"/>
    </row>
    <row r="209" ht="25" customHeight="1" s="18">
      <c r="A209" s="102" t="n"/>
      <c r="B209" s="66" t="n"/>
      <c r="C209" s="77" t="n"/>
      <c r="D209" s="77" t="n"/>
      <c r="E209" s="78" t="n"/>
    </row>
    <row r="210" ht="25" customHeight="1" s="18">
      <c r="A210" s="101" t="n"/>
      <c r="B210" s="89" t="n"/>
      <c r="C210" s="74" t="n"/>
      <c r="D210" s="74" t="n"/>
      <c r="E210" s="75" t="n"/>
    </row>
    <row r="211" ht="25" customHeight="1" s="18">
      <c r="A211" s="102" t="n"/>
      <c r="B211" s="66" t="n"/>
      <c r="C211" s="77" t="n"/>
      <c r="D211" s="77" t="n"/>
      <c r="E211" s="78" t="n"/>
    </row>
    <row r="212" ht="25" customHeight="1" s="18">
      <c r="A212" s="101" t="n"/>
      <c r="B212" s="89" t="n"/>
      <c r="C212" s="74" t="n"/>
      <c r="D212" s="74" t="n"/>
      <c r="E212" s="75" t="n"/>
    </row>
    <row r="213" ht="25" customHeight="1" s="18">
      <c r="A213" s="102" t="n"/>
      <c r="B213" s="66" t="n"/>
      <c r="C213" s="77" t="n"/>
      <c r="D213" s="77" t="n"/>
      <c r="E213" s="78" t="n"/>
    </row>
    <row r="214" ht="25" customHeight="1" s="18">
      <c r="A214" s="101" t="n"/>
      <c r="B214" s="89" t="n"/>
      <c r="C214" s="74" t="n"/>
      <c r="D214" s="74" t="n"/>
      <c r="E214" s="75" t="n"/>
    </row>
    <row r="215" ht="25" customHeight="1" s="18">
      <c r="A215" s="102" t="n"/>
      <c r="B215" s="66" t="n"/>
      <c r="C215" s="77" t="n"/>
      <c r="D215" s="77" t="n"/>
      <c r="E215" s="78" t="n"/>
    </row>
    <row r="216" ht="25" customHeight="1" s="18">
      <c r="A216" s="101" t="n"/>
      <c r="B216" s="89" t="n"/>
      <c r="C216" s="74" t="n"/>
      <c r="D216" s="74" t="n"/>
      <c r="E216" s="75" t="n"/>
    </row>
    <row r="217" ht="25" customHeight="1" s="18">
      <c r="A217" s="102" t="n"/>
      <c r="B217" s="66" t="n"/>
      <c r="C217" s="77" t="n"/>
      <c r="D217" s="77" t="n"/>
      <c r="E217" s="78" t="n"/>
    </row>
    <row r="218" ht="25" customHeight="1" s="18">
      <c r="A218" s="101" t="n"/>
      <c r="B218" s="89" t="n"/>
      <c r="C218" s="74" t="n"/>
      <c r="D218" s="74" t="n"/>
      <c r="E218" s="75" t="n"/>
    </row>
    <row r="219" ht="25" customHeight="1" s="18">
      <c r="A219" s="102" t="n"/>
      <c r="B219" s="66" t="n"/>
      <c r="C219" s="77" t="n"/>
      <c r="D219" s="77" t="n"/>
      <c r="E219" s="78" t="n"/>
    </row>
    <row r="220" ht="25" customHeight="1" s="18">
      <c r="A220" s="101" t="n"/>
      <c r="B220" s="89" t="n"/>
      <c r="C220" s="74" t="n"/>
      <c r="D220" s="74" t="n"/>
      <c r="E220" s="75" t="n"/>
    </row>
    <row r="221" ht="25" customHeight="1" s="18">
      <c r="A221" s="102" t="n"/>
      <c r="B221" s="66" t="n"/>
      <c r="C221" s="77" t="n"/>
      <c r="D221" s="77" t="n"/>
      <c r="E221" s="78" t="n"/>
    </row>
    <row r="222" ht="25" customHeight="1" s="18">
      <c r="A222" s="101" t="n"/>
      <c r="B222" s="89" t="n"/>
      <c r="C222" s="74" t="n"/>
      <c r="D222" s="74" t="n"/>
      <c r="E222" s="75" t="n"/>
    </row>
    <row r="223" ht="25" customHeight="1" s="18">
      <c r="A223" s="102" t="n"/>
      <c r="B223" s="66" t="n"/>
      <c r="C223" s="77" t="n"/>
      <c r="D223" s="77" t="n"/>
      <c r="E223" s="78" t="n"/>
    </row>
    <row r="224" ht="25" customHeight="1" s="18">
      <c r="A224" s="101" t="n"/>
      <c r="B224" s="89" t="n"/>
      <c r="C224" s="74" t="n"/>
      <c r="D224" s="74" t="n"/>
      <c r="E224" s="75" t="n"/>
    </row>
    <row r="225" ht="25" customHeight="1" s="18">
      <c r="A225" s="102" t="n"/>
      <c r="B225" s="66" t="n"/>
      <c r="C225" s="77" t="n"/>
      <c r="D225" s="77" t="n"/>
      <c r="E225" s="78" t="n"/>
    </row>
    <row r="226" ht="25" customHeight="1" s="18">
      <c r="A226" s="101" t="n"/>
      <c r="B226" s="89" t="n"/>
      <c r="C226" s="74" t="n"/>
      <c r="D226" s="74" t="n"/>
      <c r="E226" s="75" t="n"/>
    </row>
    <row r="227" ht="25" customHeight="1" s="18">
      <c r="A227" s="102" t="n"/>
      <c r="B227" s="66" t="n"/>
      <c r="C227" s="77" t="n"/>
      <c r="D227" s="77" t="n"/>
      <c r="E227" s="78" t="n"/>
    </row>
    <row r="228" ht="25" customHeight="1" s="18">
      <c r="A228" s="101" t="n"/>
      <c r="B228" s="89" t="n"/>
      <c r="C228" s="74" t="n"/>
      <c r="D228" s="74" t="n"/>
      <c r="E228" s="75" t="n"/>
    </row>
    <row r="229" ht="25" customHeight="1" s="18">
      <c r="A229" s="102" t="n"/>
      <c r="B229" s="66" t="n"/>
      <c r="C229" s="77" t="n"/>
      <c r="D229" s="77" t="n"/>
      <c r="E229" s="78" t="n"/>
    </row>
    <row r="230" ht="25" customHeight="1" s="18">
      <c r="A230" s="101" t="n"/>
      <c r="B230" s="89" t="n"/>
      <c r="C230" s="74" t="n"/>
      <c r="D230" s="74" t="n"/>
      <c r="E230" s="75" t="n"/>
    </row>
    <row r="231" ht="25" customHeight="1" s="18">
      <c r="A231" s="102" t="n"/>
      <c r="B231" s="66" t="n"/>
      <c r="C231" s="77" t="n"/>
      <c r="D231" s="77" t="n"/>
      <c r="E231" s="78" t="n"/>
    </row>
    <row r="232" ht="25" customHeight="1" s="18">
      <c r="A232" s="101" t="n"/>
      <c r="B232" s="89" t="n"/>
      <c r="C232" s="74" t="n"/>
      <c r="D232" s="74" t="n"/>
      <c r="E232" s="75" t="n"/>
    </row>
    <row r="233" ht="25" customHeight="1" s="18">
      <c r="A233" s="102" t="n"/>
      <c r="B233" s="66" t="n"/>
      <c r="C233" s="77" t="n"/>
      <c r="D233" s="77" t="n"/>
      <c r="E233" s="78" t="n"/>
    </row>
    <row r="234" ht="25" customHeight="1" s="18">
      <c r="A234" s="101" t="n"/>
      <c r="B234" s="89" t="n"/>
      <c r="C234" s="74" t="n"/>
      <c r="D234" s="74" t="n"/>
      <c r="E234" s="75" t="n"/>
    </row>
    <row r="235" ht="25" customHeight="1" s="18">
      <c r="A235" s="102" t="n"/>
      <c r="B235" s="66" t="n"/>
      <c r="C235" s="77" t="n"/>
      <c r="D235" s="77" t="n"/>
      <c r="E235" s="78" t="n"/>
    </row>
    <row r="236" ht="25" customHeight="1" s="18">
      <c r="A236" s="101" t="n"/>
      <c r="B236" s="89" t="n"/>
      <c r="C236" s="74" t="n"/>
      <c r="D236" s="74" t="n"/>
      <c r="E236" s="75" t="n"/>
    </row>
    <row r="237" ht="25" customHeight="1" s="18">
      <c r="A237" s="102" t="n"/>
      <c r="B237" s="66" t="n"/>
      <c r="C237" s="77" t="n"/>
      <c r="D237" s="77" t="n"/>
      <c r="E237" s="78" t="n"/>
    </row>
    <row r="238" ht="25" customHeight="1" s="18">
      <c r="A238" s="101" t="n"/>
      <c r="B238" s="89" t="n"/>
      <c r="C238" s="74" t="n"/>
      <c r="D238" s="74" t="n"/>
      <c r="E238" s="75" t="n"/>
    </row>
    <row r="239" ht="25" customHeight="1" s="18">
      <c r="A239" s="102" t="n"/>
      <c r="B239" s="66" t="n"/>
      <c r="C239" s="77" t="n"/>
      <c r="D239" s="77" t="n"/>
      <c r="E239" s="78" t="n"/>
    </row>
    <row r="240" ht="25" customHeight="1" s="18">
      <c r="A240" s="101" t="n"/>
      <c r="B240" s="89" t="n"/>
      <c r="C240" s="74" t="n"/>
      <c r="D240" s="74" t="n"/>
      <c r="E240" s="75" t="n"/>
    </row>
    <row r="241" ht="25" customHeight="1" s="18">
      <c r="A241" s="102" t="n"/>
      <c r="B241" s="66" t="n"/>
      <c r="C241" s="77" t="n"/>
      <c r="D241" s="77" t="n"/>
      <c r="E241" s="78" t="n"/>
    </row>
    <row r="242" ht="25" customHeight="1" s="18">
      <c r="A242" s="101" t="n"/>
      <c r="B242" s="89" t="n"/>
      <c r="C242" s="74" t="n"/>
      <c r="D242" s="74" t="n"/>
      <c r="E242" s="75" t="n"/>
    </row>
    <row r="243" ht="25" customHeight="1" s="18">
      <c r="A243" s="102" t="n"/>
      <c r="B243" s="66" t="n"/>
      <c r="C243" s="77" t="n"/>
      <c r="D243" s="77" t="n"/>
      <c r="E243" s="78" t="n"/>
    </row>
    <row r="244" ht="25" customHeight="1" s="18">
      <c r="A244" s="101" t="n"/>
      <c r="B244" s="89" t="n"/>
      <c r="C244" s="74" t="n"/>
      <c r="D244" s="74" t="n"/>
      <c r="E244" s="75" t="n"/>
    </row>
    <row r="245" ht="25" customHeight="1" s="18">
      <c r="A245" s="102" t="n"/>
      <c r="B245" s="66" t="n"/>
      <c r="C245" s="77" t="n"/>
      <c r="D245" s="77" t="n"/>
      <c r="E245" s="78" t="n"/>
    </row>
    <row r="246" ht="25" customHeight="1" s="18">
      <c r="A246" s="101" t="n"/>
      <c r="B246" s="89" t="n"/>
      <c r="C246" s="74" t="n"/>
      <c r="D246" s="74" t="n"/>
      <c r="E246" s="75" t="n"/>
    </row>
    <row r="247" ht="25" customHeight="1" s="18">
      <c r="A247" s="102" t="n"/>
      <c r="B247" s="66" t="n"/>
      <c r="C247" s="77" t="n"/>
      <c r="D247" s="77" t="n"/>
      <c r="E247" s="78" t="n"/>
    </row>
    <row r="248" ht="25" customHeight="1" s="18">
      <c r="A248" s="101" t="n"/>
      <c r="B248" s="89" t="n"/>
      <c r="C248" s="74" t="n"/>
      <c r="D248" s="74" t="n"/>
      <c r="E248" s="75" t="n"/>
    </row>
    <row r="249" ht="25" customHeight="1" s="18">
      <c r="A249" s="102" t="n"/>
      <c r="B249" s="66" t="n"/>
      <c r="C249" s="77" t="n"/>
      <c r="D249" s="77" t="n"/>
      <c r="E249" s="78" t="n"/>
    </row>
    <row r="250" ht="25" customHeight="1" s="18">
      <c r="A250" s="101" t="n"/>
      <c r="B250" s="89" t="n"/>
      <c r="C250" s="74" t="n"/>
      <c r="D250" s="74" t="n"/>
      <c r="E250" s="75" t="n"/>
    </row>
    <row r="251" ht="25" customHeight="1" s="18">
      <c r="A251" s="102" t="n"/>
      <c r="B251" s="66" t="n"/>
      <c r="C251" s="77" t="n"/>
      <c r="D251" s="77" t="n"/>
      <c r="E251" s="78" t="n"/>
    </row>
    <row r="252" ht="25" customHeight="1" s="18">
      <c r="A252" s="101" t="n"/>
      <c r="B252" s="89" t="n"/>
      <c r="C252" s="74" t="n"/>
      <c r="D252" s="74" t="n"/>
      <c r="E252" s="75" t="n"/>
    </row>
    <row r="253" ht="25" customHeight="1" s="18">
      <c r="A253" s="102" t="n"/>
      <c r="B253" s="66" t="n"/>
      <c r="C253" s="77" t="n"/>
      <c r="D253" s="77" t="n"/>
      <c r="E253" s="78" t="n"/>
    </row>
    <row r="254" ht="25" customHeight="1" s="18">
      <c r="A254" s="101" t="n"/>
      <c r="B254" s="89" t="n"/>
      <c r="C254" s="74" t="n"/>
      <c r="D254" s="74" t="n"/>
      <c r="E254" s="75" t="n"/>
    </row>
    <row r="255" ht="25" customHeight="1" s="18">
      <c r="A255" s="102" t="n"/>
      <c r="B255" s="66" t="n"/>
      <c r="C255" s="77" t="n"/>
      <c r="D255" s="77" t="n"/>
      <c r="E255" s="78" t="n"/>
    </row>
    <row r="256" ht="25" customHeight="1" s="18">
      <c r="A256" s="101" t="n"/>
      <c r="B256" s="89" t="n"/>
      <c r="C256" s="74" t="n"/>
      <c r="D256" s="74" t="n"/>
      <c r="E256" s="75" t="n"/>
    </row>
    <row r="257" ht="25" customHeight="1" s="18">
      <c r="A257" s="102" t="n"/>
      <c r="B257" s="66" t="n"/>
      <c r="C257" s="77" t="n"/>
      <c r="D257" s="77" t="n"/>
      <c r="E257" s="78" t="n"/>
    </row>
    <row r="258" ht="25" customHeight="1" s="18">
      <c r="A258" s="101" t="n"/>
      <c r="B258" s="89" t="n"/>
      <c r="C258" s="74" t="n"/>
      <c r="D258" s="74" t="n"/>
      <c r="E258" s="75" t="n"/>
    </row>
    <row r="259" ht="25" customHeight="1" s="18">
      <c r="A259" s="102" t="n"/>
      <c r="B259" s="66" t="n"/>
      <c r="C259" s="77" t="n"/>
      <c r="D259" s="77" t="n"/>
      <c r="E259" s="78" t="n"/>
    </row>
    <row r="260" ht="25" customHeight="1" s="18">
      <c r="A260" s="101" t="n"/>
      <c r="B260" s="89" t="n"/>
      <c r="C260" s="74" t="n"/>
      <c r="D260" s="74" t="n"/>
      <c r="E260" s="75" t="n"/>
    </row>
    <row r="261" ht="25" customHeight="1" s="18">
      <c r="A261" s="102" t="n"/>
      <c r="B261" s="66" t="n"/>
      <c r="C261" s="77" t="n"/>
      <c r="D261" s="77" t="n"/>
      <c r="E261" s="78" t="n"/>
    </row>
    <row r="262" ht="25" customHeight="1" s="18">
      <c r="A262" s="101" t="n"/>
      <c r="B262" s="89" t="n"/>
      <c r="C262" s="74" t="n"/>
      <c r="D262" s="74" t="n"/>
      <c r="E262" s="75" t="n"/>
    </row>
    <row r="263" ht="25" customHeight="1" s="18">
      <c r="A263" s="102" t="n"/>
      <c r="B263" s="66" t="n"/>
      <c r="C263" s="77" t="n"/>
      <c r="D263" s="77" t="n"/>
      <c r="E263" s="78" t="n"/>
    </row>
    <row r="264" ht="25" customHeight="1" s="18">
      <c r="A264" s="101" t="n"/>
      <c r="B264" s="89" t="n"/>
      <c r="C264" s="74" t="n"/>
      <c r="D264" s="74" t="n"/>
      <c r="E264" s="75" t="n"/>
    </row>
    <row r="265" ht="25" customHeight="1" s="18">
      <c r="A265" s="102" t="n"/>
      <c r="B265" s="66" t="n"/>
      <c r="C265" s="77" t="n"/>
      <c r="D265" s="77" t="n"/>
      <c r="E265" s="78" t="n"/>
    </row>
    <row r="266" ht="25" customHeight="1" s="18">
      <c r="A266" s="101" t="n"/>
      <c r="B266" s="89" t="n"/>
      <c r="C266" s="74" t="n"/>
      <c r="D266" s="74" t="n"/>
      <c r="E266" s="75" t="n"/>
    </row>
    <row r="267" ht="25" customHeight="1" s="18">
      <c r="A267" s="102" t="n"/>
      <c r="B267" s="66" t="n"/>
      <c r="C267" s="77" t="n"/>
      <c r="D267" s="77" t="n"/>
      <c r="E267" s="78" t="n"/>
    </row>
    <row r="268" ht="25" customHeight="1" s="18">
      <c r="A268" s="101" t="n"/>
      <c r="B268" s="89" t="n"/>
      <c r="C268" s="74" t="n"/>
      <c r="D268" s="74" t="n"/>
      <c r="E268" s="75" t="n"/>
    </row>
    <row r="269" ht="25" customHeight="1" s="18">
      <c r="A269" s="102" t="n"/>
      <c r="B269" s="66" t="n"/>
      <c r="C269" s="77" t="n"/>
      <c r="D269" s="77" t="n"/>
      <c r="E269" s="78" t="n"/>
    </row>
    <row r="270" ht="25" customHeight="1" s="18">
      <c r="A270" s="101" t="n"/>
      <c r="B270" s="89" t="n"/>
      <c r="C270" s="74" t="n"/>
      <c r="D270" s="74" t="n"/>
      <c r="E270" s="75" t="n"/>
    </row>
    <row r="271" ht="25" customHeight="1" s="18">
      <c r="A271" s="102" t="n"/>
      <c r="B271" s="66" t="n"/>
      <c r="C271" s="77" t="n"/>
      <c r="D271" s="77" t="n"/>
      <c r="E271" s="78" t="n"/>
    </row>
    <row r="272" ht="25" customHeight="1" s="18">
      <c r="A272" s="101" t="n"/>
      <c r="B272" s="89" t="n"/>
      <c r="C272" s="74" t="n"/>
      <c r="D272" s="74" t="n"/>
      <c r="E272" s="75" t="n"/>
    </row>
    <row r="273" ht="25" customHeight="1" s="18">
      <c r="A273" s="102" t="n"/>
      <c r="B273" s="66" t="n"/>
      <c r="C273" s="77" t="n"/>
      <c r="D273" s="77" t="n"/>
      <c r="E273" s="78" t="n"/>
    </row>
    <row r="274" ht="25" customHeight="1" s="18">
      <c r="A274" s="101" t="n"/>
      <c r="B274" s="89" t="n"/>
      <c r="C274" s="74" t="n"/>
      <c r="D274" s="74" t="n"/>
      <c r="E274" s="75" t="n"/>
    </row>
    <row r="275" ht="25" customHeight="1" s="18">
      <c r="A275" s="102" t="n"/>
      <c r="B275" s="66" t="n"/>
      <c r="C275" s="77" t="n"/>
      <c r="D275" s="77" t="n"/>
      <c r="E275" s="78" t="n"/>
    </row>
    <row r="276" ht="25" customHeight="1" s="18">
      <c r="A276" s="101" t="n"/>
      <c r="B276" s="89" t="n"/>
      <c r="C276" s="74" t="n"/>
      <c r="D276" s="74" t="n"/>
      <c r="E276" s="75" t="n"/>
    </row>
    <row r="277" ht="25" customHeight="1" s="18">
      <c r="A277" s="102" t="n"/>
      <c r="B277" s="66" t="n"/>
      <c r="C277" s="77" t="n"/>
      <c r="D277" s="77" t="n"/>
      <c r="E277" s="78" t="n"/>
    </row>
    <row r="278" ht="25" customHeight="1" s="18">
      <c r="A278" s="101" t="n"/>
      <c r="B278" s="89" t="n"/>
      <c r="C278" s="74" t="n"/>
      <c r="D278" s="74" t="n"/>
      <c r="E278" s="75" t="n"/>
    </row>
    <row r="279" ht="25" customHeight="1" s="18">
      <c r="A279" s="102" t="n"/>
      <c r="B279" s="66" t="n"/>
      <c r="C279" s="77" t="n"/>
      <c r="D279" s="77" t="n"/>
      <c r="E279" s="78" t="n"/>
    </row>
    <row r="280" ht="25" customHeight="1" s="18">
      <c r="A280" s="101" t="n"/>
      <c r="B280" s="89" t="n"/>
      <c r="C280" s="74" t="n"/>
      <c r="D280" s="74" t="n"/>
      <c r="E280" s="75" t="n"/>
    </row>
    <row r="281" ht="25" customHeight="1" s="18">
      <c r="A281" s="102" t="n"/>
      <c r="B281" s="66" t="n"/>
      <c r="C281" s="77" t="n"/>
      <c r="D281" s="77" t="n"/>
      <c r="E281" s="78" t="n"/>
    </row>
    <row r="282" ht="25" customHeight="1" s="18">
      <c r="A282" s="101" t="n"/>
      <c r="B282" s="89" t="n"/>
      <c r="C282" s="74" t="n"/>
      <c r="D282" s="74" t="n"/>
      <c r="E282" s="75" t="n"/>
    </row>
    <row r="283" ht="25" customHeight="1" s="18">
      <c r="A283" s="102" t="n"/>
      <c r="B283" s="66" t="n"/>
      <c r="C283" s="77" t="n"/>
      <c r="D283" s="77" t="n"/>
      <c r="E283" s="78" t="n"/>
    </row>
    <row r="284" ht="25" customHeight="1" s="18">
      <c r="A284" s="101" t="n"/>
      <c r="B284" s="89" t="n"/>
      <c r="C284" s="74" t="n"/>
      <c r="D284" s="74" t="n"/>
      <c r="E284" s="75" t="n"/>
    </row>
    <row r="285" ht="25" customHeight="1" s="18">
      <c r="A285" s="102" t="n"/>
      <c r="B285" s="66" t="n"/>
      <c r="C285" s="77" t="n"/>
      <c r="D285" s="77" t="n"/>
      <c r="E285" s="78" t="n"/>
    </row>
    <row r="286" ht="25" customHeight="1" s="18">
      <c r="A286" s="101" t="n"/>
      <c r="B286" s="89" t="n"/>
      <c r="C286" s="74" t="n"/>
      <c r="D286" s="74" t="n"/>
      <c r="E286" s="75" t="n"/>
    </row>
    <row r="287" ht="25" customHeight="1" s="18">
      <c r="A287" s="102" t="n"/>
      <c r="B287" s="66" t="n"/>
      <c r="C287" s="77" t="n"/>
      <c r="D287" s="77" t="n"/>
      <c r="E287" s="78" t="n"/>
    </row>
    <row r="288" ht="25" customHeight="1" s="18">
      <c r="A288" s="101" t="n"/>
      <c r="B288" s="89" t="n"/>
      <c r="C288" s="74" t="n"/>
      <c r="D288" s="74" t="n"/>
      <c r="E288" s="75" t="n"/>
    </row>
    <row r="289" ht="25" customHeight="1" s="18">
      <c r="A289" s="102" t="n"/>
      <c r="B289" s="66" t="n"/>
      <c r="C289" s="77" t="n"/>
      <c r="D289" s="77" t="n"/>
      <c r="E289" s="78" t="n"/>
    </row>
    <row r="290" ht="25" customHeight="1" s="18">
      <c r="A290" s="101" t="n"/>
      <c r="B290" s="89" t="n"/>
      <c r="C290" s="74" t="n"/>
      <c r="D290" s="74" t="n"/>
      <c r="E290" s="75" t="n"/>
    </row>
    <row r="291" ht="25" customHeight="1" s="18">
      <c r="A291" s="102" t="n"/>
      <c r="B291" s="66" t="n"/>
      <c r="C291" s="77" t="n"/>
      <c r="D291" s="77" t="n"/>
      <c r="E291" s="78" t="n"/>
    </row>
    <row r="292" ht="25" customHeight="1" s="18">
      <c r="A292" s="101" t="n"/>
      <c r="B292" s="89" t="n"/>
      <c r="C292" s="74" t="n"/>
      <c r="D292" s="74" t="n"/>
      <c r="E292" s="75" t="n"/>
    </row>
    <row r="293" ht="25" customHeight="1" s="18">
      <c r="A293" s="102" t="n"/>
      <c r="B293" s="66" t="n"/>
      <c r="C293" s="77" t="n"/>
      <c r="D293" s="77" t="n"/>
      <c r="E293" s="78" t="n"/>
    </row>
    <row r="294" ht="25" customHeight="1" s="18">
      <c r="A294" s="101" t="n"/>
      <c r="B294" s="89" t="n"/>
      <c r="C294" s="74" t="n"/>
      <c r="D294" s="74" t="n"/>
      <c r="E294" s="75" t="n"/>
    </row>
    <row r="295" ht="25" customHeight="1" s="18">
      <c r="A295" s="102" t="n"/>
      <c r="B295" s="66" t="n"/>
      <c r="C295" s="77" t="n"/>
      <c r="D295" s="77" t="n"/>
      <c r="E295" s="78" t="n"/>
    </row>
    <row r="296" ht="25" customHeight="1" s="18">
      <c r="A296" s="101" t="n"/>
      <c r="B296" s="89" t="n"/>
      <c r="C296" s="74" t="n"/>
      <c r="D296" s="74" t="n"/>
      <c r="E296" s="75" t="n"/>
    </row>
    <row r="297" ht="25" customHeight="1" s="18">
      <c r="A297" s="102" t="n"/>
      <c r="B297" s="66" t="n"/>
      <c r="C297" s="77" t="n"/>
      <c r="D297" s="77" t="n"/>
      <c r="E297" s="78" t="n"/>
    </row>
    <row r="298" ht="25" customHeight="1" s="18">
      <c r="A298" s="101" t="n"/>
      <c r="B298" s="89" t="n"/>
      <c r="C298" s="74" t="n"/>
      <c r="D298" s="74" t="n"/>
      <c r="E298" s="75" t="n"/>
    </row>
    <row r="299" ht="25" customHeight="1" s="18">
      <c r="A299" s="102" t="n"/>
      <c r="B299" s="66" t="n"/>
      <c r="C299" s="77" t="n"/>
      <c r="D299" s="77" t="n"/>
      <c r="E299" s="78" t="n"/>
    </row>
    <row r="300" ht="25" customHeight="1" s="18">
      <c r="A300" s="101" t="n"/>
      <c r="B300" s="89" t="n"/>
      <c r="C300" s="74" t="n"/>
      <c r="D300" s="74" t="n"/>
      <c r="E300" s="75" t="n"/>
    </row>
    <row r="301" ht="25" customHeight="1" s="18">
      <c r="A301" s="102" t="n"/>
      <c r="B301" s="66" t="n"/>
      <c r="C301" s="77" t="n"/>
      <c r="D301" s="77" t="n"/>
      <c r="E301" s="78" t="n"/>
    </row>
    <row r="302" ht="25" customHeight="1" s="18">
      <c r="A302" s="101" t="n"/>
      <c r="B302" s="89" t="n"/>
      <c r="C302" s="74" t="n"/>
      <c r="D302" s="74" t="n"/>
      <c r="E302" s="75" t="n"/>
    </row>
    <row r="303" ht="25" customHeight="1" s="18">
      <c r="A303" s="102" t="n"/>
      <c r="B303" s="66" t="n"/>
      <c r="C303" s="77" t="n"/>
      <c r="D303" s="77" t="n"/>
      <c r="E303" s="78" t="n"/>
    </row>
    <row r="304" ht="25" customHeight="1" s="18">
      <c r="A304" s="101" t="n"/>
      <c r="B304" s="89" t="n"/>
      <c r="C304" s="74" t="n"/>
      <c r="D304" s="74" t="n"/>
      <c r="E304" s="75" t="n"/>
    </row>
    <row r="305" ht="25" customHeight="1" s="18">
      <c r="A305" s="102" t="n"/>
      <c r="B305" s="66" t="n"/>
      <c r="C305" s="77" t="n"/>
      <c r="D305" s="77" t="n"/>
      <c r="E305" s="78" t="n"/>
    </row>
    <row r="306" ht="25" customHeight="1" s="18">
      <c r="A306" s="101" t="n"/>
      <c r="B306" s="89" t="n"/>
      <c r="C306" s="74" t="n"/>
      <c r="D306" s="74" t="n"/>
      <c r="E306" s="75" t="n"/>
    </row>
    <row r="307" ht="25" customHeight="1" s="18">
      <c r="A307" s="102" t="n"/>
      <c r="B307" s="66" t="n"/>
      <c r="C307" s="77" t="n"/>
      <c r="D307" s="77" t="n"/>
      <c r="E307" s="78" t="n"/>
    </row>
    <row r="308" ht="25" customHeight="1" s="18">
      <c r="A308" s="101" t="n"/>
      <c r="B308" s="89" t="n"/>
      <c r="C308" s="74" t="n"/>
      <c r="D308" s="74" t="n"/>
      <c r="E308" s="75" t="n"/>
    </row>
    <row r="309" ht="25" customHeight="1" s="18">
      <c r="A309" s="102" t="n"/>
      <c r="B309" s="66" t="n"/>
      <c r="C309" s="77" t="n"/>
      <c r="D309" s="77" t="n"/>
      <c r="E309" s="78" t="n"/>
    </row>
    <row r="310" ht="25" customHeight="1" s="18">
      <c r="A310" s="101" t="n"/>
      <c r="B310" s="89" t="n"/>
      <c r="C310" s="74" t="n"/>
      <c r="D310" s="74" t="n"/>
      <c r="E310" s="75" t="n"/>
    </row>
    <row r="311" ht="25" customHeight="1" s="18">
      <c r="A311" s="102" t="n"/>
      <c r="B311" s="66" t="n"/>
      <c r="C311" s="77" t="n"/>
      <c r="D311" s="77" t="n"/>
      <c r="E311" s="78" t="n"/>
    </row>
    <row r="312" ht="25" customHeight="1" s="18">
      <c r="A312" s="101" t="n"/>
      <c r="B312" s="89" t="n"/>
      <c r="C312" s="74" t="n"/>
      <c r="D312" s="74" t="n"/>
      <c r="E312" s="75" t="n"/>
    </row>
    <row r="313" ht="25" customHeight="1" s="18">
      <c r="A313" s="102" t="n"/>
      <c r="B313" s="66" t="n"/>
      <c r="C313" s="77" t="n"/>
      <c r="D313" s="77" t="n"/>
      <c r="E313" s="78" t="n"/>
    </row>
    <row r="314" ht="25" customHeight="1" s="18">
      <c r="A314" s="101" t="n"/>
      <c r="B314" s="89" t="n"/>
      <c r="C314" s="74" t="n"/>
      <c r="D314" s="74" t="n"/>
      <c r="E314" s="75" t="n"/>
    </row>
    <row r="315" ht="25" customHeight="1" s="18">
      <c r="A315" s="102" t="n"/>
      <c r="B315" s="66" t="n"/>
      <c r="C315" s="77" t="n"/>
      <c r="D315" s="77" t="n"/>
      <c r="E315" s="78" t="n"/>
    </row>
    <row r="316" ht="25" customHeight="1" s="18">
      <c r="A316" s="101" t="n"/>
      <c r="B316" s="89" t="n"/>
      <c r="C316" s="74" t="n"/>
      <c r="D316" s="74" t="n"/>
      <c r="E316" s="75" t="n"/>
    </row>
    <row r="317" ht="25" customHeight="1" s="18">
      <c r="A317" s="102" t="n"/>
      <c r="B317" s="66" t="n"/>
      <c r="C317" s="77" t="n"/>
      <c r="D317" s="77" t="n"/>
      <c r="E317" s="78" t="n"/>
    </row>
    <row r="318" ht="25" customHeight="1" s="18">
      <c r="A318" s="101" t="n"/>
      <c r="B318" s="89" t="n"/>
      <c r="C318" s="74" t="n"/>
      <c r="D318" s="74" t="n"/>
      <c r="E318" s="75" t="n"/>
    </row>
    <row r="319" ht="25" customHeight="1" s="18">
      <c r="A319" s="102" t="n"/>
      <c r="B319" s="66" t="n"/>
      <c r="C319" s="77" t="n"/>
      <c r="D319" s="77" t="n"/>
      <c r="E319" s="78" t="n"/>
    </row>
    <row r="320" ht="25" customHeight="1" s="18">
      <c r="A320" s="101" t="n"/>
      <c r="B320" s="89" t="n"/>
      <c r="C320" s="74" t="n"/>
      <c r="D320" s="74" t="n"/>
      <c r="E320" s="75" t="n"/>
    </row>
    <row r="321" ht="25" customHeight="1" s="18">
      <c r="A321" s="102" t="n"/>
      <c r="B321" s="66" t="n"/>
      <c r="C321" s="77" t="n"/>
      <c r="D321" s="77" t="n"/>
      <c r="E321" s="78" t="n"/>
    </row>
    <row r="322" ht="25" customHeight="1" s="18">
      <c r="A322" s="101" t="n"/>
      <c r="B322" s="89" t="n"/>
      <c r="C322" s="74" t="n"/>
      <c r="D322" s="74" t="n"/>
      <c r="E322" s="75" t="n"/>
    </row>
    <row r="323" ht="25" customHeight="1" s="18">
      <c r="A323" s="102" t="n"/>
      <c r="B323" s="66" t="n"/>
      <c r="C323" s="77" t="n"/>
      <c r="D323" s="77" t="n"/>
      <c r="E323" s="78" t="n"/>
    </row>
    <row r="324" ht="25" customHeight="1" s="18">
      <c r="A324" s="101" t="n"/>
      <c r="B324" s="89" t="n"/>
      <c r="C324" s="74" t="n"/>
      <c r="D324" s="74" t="n"/>
      <c r="E324" s="75" t="n"/>
    </row>
    <row r="325" ht="25" customHeight="1" s="18">
      <c r="A325" s="102" t="n"/>
      <c r="B325" s="66" t="n"/>
      <c r="C325" s="77" t="n"/>
      <c r="D325" s="77" t="n"/>
      <c r="E325" s="78" t="n"/>
    </row>
    <row r="326" ht="25" customHeight="1" s="18">
      <c r="A326" s="101" t="n"/>
      <c r="B326" s="89" t="n"/>
      <c r="C326" s="74" t="n"/>
      <c r="D326" s="74" t="n"/>
      <c r="E326" s="75" t="n"/>
    </row>
    <row r="327" ht="25" customHeight="1" s="18">
      <c r="A327" s="102" t="n"/>
      <c r="B327" s="66" t="n"/>
      <c r="C327" s="77" t="n"/>
      <c r="D327" s="77" t="n"/>
      <c r="E327" s="78" t="n"/>
    </row>
    <row r="328" ht="25" customHeight="1" s="18">
      <c r="A328" s="101" t="n"/>
      <c r="B328" s="89" t="n"/>
      <c r="C328" s="74" t="n"/>
      <c r="D328" s="74" t="n"/>
      <c r="E328" s="75" t="n"/>
    </row>
    <row r="329" ht="25" customHeight="1" s="18">
      <c r="A329" s="102" t="n"/>
      <c r="B329" s="66" t="n"/>
      <c r="C329" s="77" t="n"/>
      <c r="D329" s="77" t="n"/>
      <c r="E329" s="78" t="n"/>
    </row>
    <row r="330" ht="25" customHeight="1" s="18">
      <c r="A330" s="101" t="n"/>
      <c r="B330" s="89" t="n"/>
      <c r="C330" s="74" t="n"/>
      <c r="D330" s="74" t="n"/>
      <c r="E330" s="75" t="n"/>
    </row>
    <row r="331" ht="25" customHeight="1" s="18">
      <c r="A331" s="102" t="n"/>
      <c r="B331" s="66" t="n"/>
      <c r="C331" s="77" t="n"/>
      <c r="D331" s="77" t="n"/>
      <c r="E331" s="78" t="n"/>
    </row>
    <row r="332" ht="25" customHeight="1" s="18">
      <c r="A332" s="101" t="n"/>
      <c r="B332" s="89" t="n"/>
      <c r="C332" s="74" t="n"/>
      <c r="D332" s="74" t="n"/>
      <c r="E332" s="75" t="n"/>
    </row>
    <row r="333" ht="25" customHeight="1" s="18">
      <c r="A333" s="102" t="n"/>
      <c r="B333" s="66" t="n"/>
      <c r="C333" s="77" t="n"/>
      <c r="D333" s="77" t="n"/>
      <c r="E333" s="78" t="n"/>
    </row>
    <row r="334" ht="25" customHeight="1" s="18">
      <c r="A334" s="101" t="n"/>
      <c r="B334" s="89" t="n"/>
      <c r="C334" s="74" t="n"/>
      <c r="D334" s="74" t="n"/>
      <c r="E334" s="75" t="n"/>
    </row>
    <row r="335" ht="25" customHeight="1" s="18">
      <c r="A335" s="102" t="n"/>
      <c r="B335" s="66" t="n"/>
      <c r="C335" s="77" t="n"/>
      <c r="D335" s="77" t="n"/>
      <c r="E335" s="78" t="n"/>
    </row>
    <row r="336" ht="25" customHeight="1" s="18">
      <c r="A336" s="101" t="n"/>
      <c r="B336" s="89" t="n"/>
      <c r="C336" s="74" t="n"/>
      <c r="D336" s="74" t="n"/>
      <c r="E336" s="75" t="n"/>
    </row>
    <row r="337" ht="25" customHeight="1" s="18">
      <c r="A337" s="102" t="n"/>
      <c r="B337" s="66" t="n"/>
      <c r="C337" s="77" t="n"/>
      <c r="D337" s="77" t="n"/>
      <c r="E337" s="78" t="n"/>
    </row>
    <row r="338" ht="25" customHeight="1" s="18">
      <c r="A338" s="101" t="n"/>
      <c r="B338" s="89" t="n"/>
      <c r="C338" s="74" t="n"/>
      <c r="D338" s="74" t="n"/>
      <c r="E338" s="75" t="n"/>
    </row>
    <row r="339" ht="25" customHeight="1" s="18">
      <c r="A339" s="102" t="n"/>
      <c r="B339" s="66" t="n"/>
      <c r="C339" s="77" t="n"/>
      <c r="D339" s="77" t="n"/>
      <c r="E339" s="78" t="n"/>
    </row>
    <row r="340" ht="25" customHeight="1" s="18">
      <c r="A340" s="101" t="n"/>
      <c r="B340" s="89" t="n"/>
      <c r="C340" s="74" t="n"/>
      <c r="D340" s="74" t="n"/>
      <c r="E340" s="75" t="n"/>
    </row>
    <row r="341" ht="25" customHeight="1" s="18">
      <c r="A341" s="102" t="n"/>
      <c r="B341" s="66" t="n"/>
      <c r="C341" s="77" t="n"/>
      <c r="D341" s="77" t="n"/>
      <c r="E341" s="78" t="n"/>
    </row>
    <row r="342" ht="25" customHeight="1" s="18">
      <c r="A342" s="101" t="n"/>
      <c r="B342" s="89" t="n"/>
      <c r="C342" s="74" t="n"/>
      <c r="D342" s="74" t="n"/>
      <c r="E342" s="75" t="n"/>
    </row>
    <row r="343" ht="25" customHeight="1" s="18">
      <c r="A343" s="102" t="n"/>
      <c r="B343" s="66" t="n"/>
      <c r="C343" s="77" t="n"/>
      <c r="D343" s="77" t="n"/>
      <c r="E343" s="78" t="n"/>
    </row>
    <row r="344" ht="25" customHeight="1" s="18">
      <c r="A344" s="101" t="n"/>
      <c r="B344" s="89" t="n"/>
      <c r="C344" s="74" t="n"/>
      <c r="D344" s="74" t="n"/>
      <c r="E344" s="75" t="n"/>
    </row>
    <row r="345" ht="25" customHeight="1" s="18">
      <c r="A345" s="102" t="n"/>
      <c r="B345" s="66" t="n"/>
      <c r="C345" s="77" t="n"/>
      <c r="D345" s="77" t="n"/>
      <c r="E345" s="78" t="n"/>
    </row>
    <row r="346" ht="25" customHeight="1" s="18">
      <c r="A346" s="101" t="n"/>
      <c r="B346" s="89" t="n"/>
      <c r="C346" s="74" t="n"/>
      <c r="D346" s="74" t="n"/>
      <c r="E346" s="75" t="n"/>
    </row>
    <row r="347" ht="25" customHeight="1" s="18">
      <c r="A347" s="102" t="n"/>
      <c r="B347" s="66" t="n"/>
      <c r="C347" s="77" t="n"/>
      <c r="D347" s="77" t="n"/>
      <c r="E347" s="78" t="n"/>
    </row>
    <row r="348" ht="25" customHeight="1" s="18">
      <c r="A348" s="101" t="n"/>
      <c r="B348" s="89" t="n"/>
      <c r="C348" s="74" t="n"/>
      <c r="D348" s="74" t="n"/>
      <c r="E348" s="75" t="n"/>
    </row>
    <row r="349" ht="25" customHeight="1" s="18">
      <c r="A349" s="102" t="n"/>
      <c r="B349" s="66" t="n"/>
      <c r="C349" s="77" t="n"/>
      <c r="D349" s="77" t="n"/>
      <c r="E349" s="78" t="n"/>
    </row>
    <row r="350" ht="25" customHeight="1" s="18">
      <c r="A350" s="101" t="n"/>
      <c r="B350" s="89" t="n"/>
      <c r="C350" s="74" t="n"/>
      <c r="D350" s="74" t="n"/>
      <c r="E350" s="75" t="n"/>
    </row>
    <row r="351" ht="25" customHeight="1" s="18">
      <c r="A351" s="102" t="n"/>
      <c r="B351" s="66" t="n"/>
      <c r="C351" s="77" t="n"/>
      <c r="D351" s="77" t="n"/>
      <c r="E351" s="78" t="n"/>
    </row>
    <row r="352" ht="25" customHeight="1" s="18">
      <c r="A352" s="101" t="n"/>
      <c r="B352" s="89" t="n"/>
      <c r="C352" s="74" t="n"/>
      <c r="D352" s="74" t="n"/>
      <c r="E352" s="75" t="n"/>
    </row>
    <row r="353" ht="25" customHeight="1" s="18">
      <c r="A353" s="102" t="n"/>
      <c r="B353" s="66" t="n"/>
      <c r="C353" s="77" t="n"/>
      <c r="D353" s="77" t="n"/>
      <c r="E353" s="78" t="n"/>
    </row>
    <row r="354" ht="25" customHeight="1" s="18">
      <c r="A354" s="101" t="n"/>
      <c r="B354" s="89" t="n"/>
      <c r="C354" s="74" t="n"/>
      <c r="D354" s="74" t="n"/>
      <c r="E354" s="75" t="n"/>
    </row>
    <row r="355" ht="25" customHeight="1" s="18">
      <c r="A355" s="102" t="n"/>
      <c r="B355" s="66" t="n"/>
      <c r="C355" s="77" t="n"/>
      <c r="D355" s="77" t="n"/>
      <c r="E355" s="78" t="n"/>
    </row>
    <row r="356" ht="25" customHeight="1" s="18">
      <c r="A356" s="101" t="n"/>
      <c r="B356" s="89" t="n"/>
      <c r="C356" s="74" t="n"/>
      <c r="D356" s="74" t="n"/>
      <c r="E356" s="75" t="n"/>
    </row>
    <row r="357" ht="25" customHeight="1" s="18">
      <c r="A357" s="102" t="n"/>
      <c r="B357" s="66" t="n"/>
      <c r="C357" s="77" t="n"/>
      <c r="D357" s="77" t="n"/>
      <c r="E357" s="78" t="n"/>
    </row>
    <row r="358" ht="25" customHeight="1" s="18">
      <c r="A358" s="101" t="n"/>
      <c r="B358" s="89" t="n"/>
      <c r="C358" s="74" t="n"/>
      <c r="D358" s="74" t="n"/>
      <c r="E358" s="75" t="n"/>
    </row>
    <row r="359" ht="25" customHeight="1" s="18">
      <c r="A359" s="102" t="n"/>
      <c r="B359" s="66" t="n"/>
      <c r="C359" s="77" t="n"/>
      <c r="D359" s="77" t="n"/>
      <c r="E359" s="78" t="n"/>
    </row>
    <row r="360" ht="25" customHeight="1" s="18">
      <c r="A360" s="101" t="n"/>
      <c r="B360" s="89" t="n"/>
      <c r="C360" s="74" t="n"/>
      <c r="D360" s="74" t="n"/>
      <c r="E360" s="75" t="n"/>
    </row>
    <row r="361" ht="25" customHeight="1" s="18">
      <c r="A361" s="102" t="n"/>
      <c r="B361" s="66" t="n"/>
      <c r="C361" s="77" t="n"/>
      <c r="D361" s="77" t="n"/>
      <c r="E361" s="78" t="n"/>
    </row>
    <row r="362" ht="25" customHeight="1" s="18">
      <c r="A362" s="101" t="n"/>
      <c r="B362" s="89" t="n"/>
      <c r="C362" s="74" t="n"/>
      <c r="D362" s="74" t="n"/>
      <c r="E362" s="75" t="n"/>
    </row>
    <row r="363" ht="25" customHeight="1" s="18">
      <c r="A363" s="102" t="n"/>
      <c r="B363" s="66" t="n"/>
      <c r="C363" s="77" t="n"/>
      <c r="D363" s="77" t="n"/>
      <c r="E363" s="78" t="n"/>
    </row>
    <row r="364" ht="25" customHeight="1" s="18">
      <c r="A364" s="101" t="n"/>
      <c r="B364" s="89" t="n"/>
      <c r="C364" s="74" t="n"/>
      <c r="D364" s="74" t="n"/>
      <c r="E364" s="75" t="n"/>
    </row>
    <row r="365" ht="25" customHeight="1" s="18">
      <c r="A365" s="102" t="n"/>
      <c r="B365" s="66" t="n"/>
      <c r="C365" s="77" t="n"/>
      <c r="D365" s="77" t="n"/>
      <c r="E365" s="78" t="n"/>
    </row>
    <row r="366" ht="25" customHeight="1" s="18">
      <c r="A366" s="101" t="n"/>
      <c r="B366" s="89" t="n"/>
      <c r="C366" s="74" t="n"/>
      <c r="D366" s="74" t="n"/>
      <c r="E366" s="75" t="n"/>
    </row>
    <row r="367" ht="25" customHeight="1" s="18">
      <c r="A367" s="102" t="n"/>
      <c r="B367" s="66" t="n"/>
      <c r="C367" s="77" t="n"/>
      <c r="D367" s="77" t="n"/>
      <c r="E367" s="78" t="n"/>
    </row>
    <row r="368" ht="25" customHeight="1" s="18">
      <c r="A368" s="101" t="n"/>
      <c r="B368" s="89" t="n"/>
      <c r="C368" s="74" t="n"/>
      <c r="D368" s="74" t="n"/>
      <c r="E368" s="75" t="n"/>
    </row>
    <row r="369" ht="25" customHeight="1" s="18">
      <c r="A369" s="102" t="n"/>
      <c r="B369" s="66" t="n"/>
      <c r="C369" s="77" t="n"/>
      <c r="D369" s="77" t="n"/>
      <c r="E369" s="78" t="n"/>
    </row>
    <row r="370" ht="25" customHeight="1" s="18">
      <c r="A370" s="101" t="n"/>
      <c r="B370" s="89" t="n"/>
      <c r="C370" s="74" t="n"/>
      <c r="D370" s="74" t="n"/>
      <c r="E370" s="75" t="n"/>
    </row>
    <row r="371" ht="25" customHeight="1" s="18">
      <c r="A371" s="102" t="n"/>
      <c r="B371" s="66" t="n"/>
      <c r="C371" s="77" t="n"/>
      <c r="D371" s="77" t="n"/>
      <c r="E371" s="78" t="n"/>
    </row>
    <row r="372" ht="25" customHeight="1" s="18">
      <c r="A372" s="101" t="n"/>
      <c r="B372" s="89" t="n"/>
      <c r="C372" s="74" t="n"/>
      <c r="D372" s="74" t="n"/>
      <c r="E372" s="75" t="n"/>
    </row>
    <row r="373" ht="25" customHeight="1" s="18">
      <c r="A373" s="102" t="n"/>
      <c r="B373" s="66" t="n"/>
      <c r="C373" s="77" t="n"/>
      <c r="D373" s="77" t="n"/>
      <c r="E373" s="78" t="n"/>
    </row>
    <row r="374" ht="25" customHeight="1" s="18">
      <c r="A374" s="101" t="n"/>
      <c r="B374" s="89" t="n"/>
      <c r="C374" s="74" t="n"/>
      <c r="D374" s="74" t="n"/>
      <c r="E374" s="75" t="n"/>
    </row>
    <row r="375" ht="25" customHeight="1" s="18">
      <c r="A375" s="102" t="n"/>
      <c r="B375" s="66" t="n"/>
      <c r="C375" s="77" t="n"/>
      <c r="D375" s="77" t="n"/>
      <c r="E375" s="78" t="n"/>
    </row>
    <row r="376" ht="25" customHeight="1" s="18">
      <c r="A376" s="101" t="n"/>
      <c r="B376" s="89" t="n"/>
      <c r="C376" s="74" t="n"/>
      <c r="D376" s="74" t="n"/>
      <c r="E376" s="75" t="n"/>
    </row>
    <row r="377" ht="25" customHeight="1" s="18">
      <c r="A377" s="102" t="n"/>
      <c r="B377" s="66" t="n"/>
      <c r="C377" s="77" t="n"/>
      <c r="D377" s="77" t="n"/>
      <c r="E377" s="78" t="n"/>
    </row>
    <row r="378" ht="25" customHeight="1" s="18">
      <c r="A378" s="101" t="n"/>
      <c r="B378" s="89" t="n"/>
      <c r="C378" s="74" t="n"/>
      <c r="D378" s="74" t="n"/>
      <c r="E378" s="75" t="n"/>
    </row>
    <row r="379" ht="25" customHeight="1" s="18">
      <c r="A379" s="102" t="n"/>
      <c r="B379" s="66" t="n"/>
      <c r="C379" s="77" t="n"/>
      <c r="D379" s="77" t="n"/>
      <c r="E379" s="78" t="n"/>
    </row>
    <row r="380" ht="25" customHeight="1" s="18">
      <c r="A380" s="101" t="n"/>
      <c r="B380" s="89" t="n"/>
      <c r="C380" s="74" t="n"/>
      <c r="D380" s="74" t="n"/>
      <c r="E380" s="75" t="n"/>
    </row>
    <row r="381" ht="25" customHeight="1" s="18">
      <c r="A381" s="102" t="n"/>
      <c r="B381" s="66" t="n"/>
      <c r="C381" s="77" t="n"/>
      <c r="D381" s="77" t="n"/>
      <c r="E381" s="78" t="n"/>
    </row>
    <row r="382" ht="25" customHeight="1" s="18">
      <c r="A382" s="101" t="n"/>
      <c r="B382" s="89" t="n"/>
      <c r="C382" s="74" t="n"/>
      <c r="D382" s="74" t="n"/>
      <c r="E382" s="75" t="n"/>
    </row>
    <row r="383" ht="25" customHeight="1" s="18">
      <c r="A383" s="102" t="n"/>
      <c r="B383" s="66" t="n"/>
      <c r="C383" s="77" t="n"/>
      <c r="D383" s="77" t="n"/>
      <c r="E383" s="78" t="n"/>
    </row>
    <row r="384" ht="25" customHeight="1" s="18">
      <c r="A384" s="101" t="n"/>
      <c r="B384" s="89" t="n"/>
      <c r="C384" s="74" t="n"/>
      <c r="D384" s="74" t="n"/>
      <c r="E384" s="75" t="n"/>
    </row>
    <row r="385" ht="25" customHeight="1" s="18">
      <c r="A385" s="102" t="n"/>
      <c r="B385" s="66" t="n"/>
      <c r="C385" s="77" t="n"/>
      <c r="D385" s="77" t="n"/>
      <c r="E385" s="78" t="n"/>
    </row>
    <row r="386" ht="25" customHeight="1" s="18">
      <c r="A386" s="101" t="n"/>
      <c r="B386" s="89" t="n"/>
      <c r="C386" s="74" t="n"/>
      <c r="D386" s="74" t="n"/>
      <c r="E386" s="75" t="n"/>
    </row>
    <row r="387" ht="25" customHeight="1" s="18">
      <c r="A387" s="102" t="n"/>
      <c r="B387" s="66" t="n"/>
      <c r="C387" s="77" t="n"/>
      <c r="D387" s="77" t="n"/>
      <c r="E387" s="78" t="n"/>
    </row>
    <row r="388" ht="25" customHeight="1" s="18">
      <c r="A388" s="101" t="n"/>
      <c r="B388" s="89" t="n"/>
      <c r="C388" s="74" t="n"/>
      <c r="D388" s="74" t="n"/>
      <c r="E388" s="75" t="n"/>
    </row>
    <row r="389" ht="25" customHeight="1" s="18">
      <c r="A389" s="102" t="n"/>
      <c r="B389" s="66" t="n"/>
      <c r="C389" s="77" t="n"/>
      <c r="D389" s="77" t="n"/>
      <c r="E389" s="78" t="n"/>
    </row>
    <row r="390" ht="25" customHeight="1" s="18">
      <c r="A390" s="101" t="n"/>
      <c r="B390" s="89" t="n"/>
      <c r="C390" s="74" t="n"/>
      <c r="D390" s="74" t="n"/>
      <c r="E390" s="75" t="n"/>
    </row>
    <row r="391" ht="25" customHeight="1" s="18">
      <c r="A391" s="102" t="n"/>
      <c r="B391" s="66" t="n"/>
      <c r="C391" s="77" t="n"/>
      <c r="D391" s="77" t="n"/>
      <c r="E391" s="78" t="n"/>
    </row>
    <row r="392" ht="25" customHeight="1" s="18">
      <c r="A392" s="101" t="n"/>
      <c r="B392" s="89" t="n"/>
      <c r="C392" s="74" t="n"/>
      <c r="D392" s="74" t="n"/>
      <c r="E392" s="75" t="n"/>
    </row>
    <row r="393" ht="25" customHeight="1" s="18">
      <c r="A393" s="102" t="n"/>
      <c r="B393" s="66" t="n"/>
      <c r="C393" s="77" t="n"/>
      <c r="D393" s="77" t="n"/>
      <c r="E393" s="78" t="n"/>
    </row>
    <row r="394" ht="25" customHeight="1" s="18">
      <c r="A394" s="101" t="n"/>
      <c r="B394" s="89" t="n"/>
      <c r="C394" s="74" t="n"/>
      <c r="D394" s="74" t="n"/>
      <c r="E394" s="75" t="n"/>
    </row>
    <row r="395" ht="25" customHeight="1" s="18">
      <c r="A395" s="102" t="n"/>
      <c r="B395" s="66" t="n"/>
      <c r="C395" s="77" t="n"/>
      <c r="D395" s="77" t="n"/>
      <c r="E395" s="78" t="n"/>
    </row>
    <row r="396" ht="25" customHeight="1" s="18">
      <c r="A396" s="101" t="n"/>
      <c r="B396" s="89" t="n"/>
      <c r="C396" s="74" t="n"/>
      <c r="D396" s="74" t="n"/>
      <c r="E396" s="75" t="n"/>
    </row>
    <row r="397" ht="25" customHeight="1" s="18">
      <c r="A397" s="102" t="n"/>
      <c r="B397" s="66" t="n"/>
      <c r="C397" s="77" t="n"/>
      <c r="D397" s="77" t="n"/>
      <c r="E397" s="78" t="n"/>
    </row>
    <row r="398" ht="25" customHeight="1" s="18">
      <c r="A398" s="101" t="n"/>
      <c r="B398" s="89" t="n"/>
      <c r="C398" s="74" t="n"/>
      <c r="D398" s="74" t="n"/>
      <c r="E398" s="75" t="n"/>
    </row>
    <row r="399" ht="25" customHeight="1" s="18">
      <c r="A399" s="102" t="n"/>
      <c r="B399" s="66" t="n"/>
      <c r="C399" s="77" t="n"/>
      <c r="D399" s="77" t="n"/>
      <c r="E399" s="78" t="n"/>
    </row>
    <row r="400" ht="25" customHeight="1" s="18">
      <c r="A400" s="101" t="n"/>
      <c r="B400" s="89" t="n"/>
      <c r="C400" s="74" t="n"/>
      <c r="D400" s="74" t="n"/>
      <c r="E400" s="75" t="n"/>
    </row>
    <row r="401" ht="25" customHeight="1" s="18">
      <c r="A401" s="102" t="n"/>
      <c r="B401" s="66" t="n"/>
      <c r="C401" s="77" t="n"/>
      <c r="D401" s="77" t="n"/>
      <c r="E401" s="78" t="n"/>
    </row>
    <row r="402" ht="25" customHeight="1" s="18">
      <c r="A402" s="101" t="n"/>
      <c r="B402" s="89" t="n"/>
      <c r="C402" s="74" t="n"/>
      <c r="D402" s="74" t="n"/>
      <c r="E402" s="75" t="n"/>
    </row>
    <row r="403" ht="25" customHeight="1" s="18">
      <c r="A403" s="102" t="n"/>
      <c r="B403" s="66" t="n"/>
      <c r="C403" s="77" t="n"/>
      <c r="D403" s="77" t="n"/>
      <c r="E403" s="78" t="n"/>
    </row>
    <row r="404" ht="25" customHeight="1" s="18">
      <c r="A404" s="101" t="n"/>
      <c r="B404" s="89" t="n"/>
      <c r="C404" s="74" t="n"/>
      <c r="D404" s="74" t="n"/>
      <c r="E404" s="75" t="n"/>
    </row>
    <row r="405" ht="25" customHeight="1" s="18">
      <c r="A405" s="102" t="n"/>
      <c r="B405" s="66" t="n"/>
      <c r="C405" s="77" t="n"/>
      <c r="D405" s="77" t="n"/>
      <c r="E405" s="78" t="n"/>
    </row>
    <row r="406" ht="25" customHeight="1" s="18">
      <c r="A406" s="101" t="n"/>
      <c r="B406" s="89" t="n"/>
      <c r="C406" s="74" t="n"/>
      <c r="D406" s="74" t="n"/>
      <c r="E406" s="75" t="n"/>
    </row>
    <row r="407" ht="25" customHeight="1" s="18">
      <c r="A407" s="102" t="n"/>
      <c r="B407" s="66" t="n"/>
      <c r="C407" s="77" t="n"/>
      <c r="D407" s="77" t="n"/>
      <c r="E407" s="78" t="n"/>
    </row>
    <row r="408" ht="25" customHeight="1" s="18">
      <c r="A408" s="101" t="n"/>
      <c r="B408" s="89" t="n"/>
      <c r="C408" s="74" t="n"/>
      <c r="D408" s="74" t="n"/>
      <c r="E408" s="75" t="n"/>
    </row>
    <row r="409" ht="25" customHeight="1" s="18">
      <c r="A409" s="102" t="n"/>
      <c r="B409" s="66" t="n"/>
      <c r="C409" s="77" t="n"/>
      <c r="D409" s="77" t="n"/>
      <c r="E409" s="78" t="n"/>
    </row>
    <row r="410" ht="25" customHeight="1" s="18">
      <c r="A410" s="101" t="n"/>
      <c r="B410" s="89" t="n"/>
      <c r="C410" s="74" t="n"/>
      <c r="D410" s="74" t="n"/>
      <c r="E410" s="75" t="n"/>
    </row>
    <row r="411" ht="25" customHeight="1" s="18">
      <c r="A411" s="102" t="n"/>
      <c r="B411" s="66" t="n"/>
      <c r="C411" s="77" t="n"/>
      <c r="D411" s="77" t="n"/>
      <c r="E411" s="78" t="n"/>
    </row>
    <row r="412" ht="25" customHeight="1" s="18">
      <c r="A412" s="101" t="n"/>
      <c r="B412" s="89" t="n"/>
      <c r="C412" s="74" t="n"/>
      <c r="D412" s="74" t="n"/>
      <c r="E412" s="75" t="n"/>
    </row>
    <row r="413" ht="25" customHeight="1" s="18">
      <c r="A413" s="102" t="n"/>
      <c r="B413" s="66" t="n"/>
      <c r="C413" s="77" t="n"/>
      <c r="D413" s="77" t="n"/>
      <c r="E413" s="78" t="n"/>
    </row>
    <row r="414" ht="25" customHeight="1" s="18">
      <c r="A414" s="101" t="n"/>
      <c r="B414" s="89" t="n"/>
      <c r="C414" s="74" t="n"/>
      <c r="D414" s="74" t="n"/>
      <c r="E414" s="75" t="n"/>
    </row>
    <row r="415" ht="25" customHeight="1" s="18">
      <c r="A415" s="102" t="n"/>
      <c r="B415" s="66" t="n"/>
      <c r="C415" s="77" t="n"/>
      <c r="D415" s="77" t="n"/>
      <c r="E415" s="78" t="n"/>
    </row>
    <row r="416" ht="25" customHeight="1" s="18">
      <c r="A416" s="101" t="n"/>
      <c r="B416" s="89" t="n"/>
      <c r="C416" s="74" t="n"/>
      <c r="D416" s="74" t="n"/>
      <c r="E416" s="75" t="n"/>
    </row>
    <row r="417" ht="25" customHeight="1" s="18">
      <c r="A417" s="102" t="n"/>
      <c r="B417" s="66" t="n"/>
      <c r="C417" s="77" t="n"/>
      <c r="D417" s="77" t="n"/>
      <c r="E417" s="78" t="n"/>
    </row>
    <row r="418" ht="25" customHeight="1" s="18">
      <c r="A418" s="101" t="n"/>
      <c r="B418" s="89" t="n"/>
      <c r="C418" s="74" t="n"/>
      <c r="D418" s="74" t="n"/>
      <c r="E418" s="75" t="n"/>
    </row>
    <row r="419" ht="25" customHeight="1" s="18">
      <c r="A419" s="102" t="n"/>
      <c r="B419" s="66" t="n"/>
      <c r="C419" s="77" t="n"/>
      <c r="D419" s="77" t="n"/>
      <c r="E419" s="78" t="n"/>
    </row>
    <row r="420" ht="25" customHeight="1" s="18">
      <c r="A420" s="101" t="n"/>
      <c r="B420" s="89" t="n"/>
      <c r="C420" s="74" t="n"/>
      <c r="D420" s="74" t="n"/>
      <c r="E420" s="75" t="n"/>
    </row>
    <row r="421" ht="25" customHeight="1" s="18">
      <c r="A421" s="102" t="n"/>
      <c r="B421" s="66" t="n"/>
      <c r="C421" s="77" t="n"/>
      <c r="D421" s="77" t="n"/>
      <c r="E421" s="78" t="n"/>
    </row>
    <row r="422" ht="25" customHeight="1" s="18">
      <c r="A422" s="101" t="n"/>
      <c r="B422" s="89" t="n"/>
      <c r="C422" s="74" t="n"/>
      <c r="D422" s="74" t="n"/>
      <c r="E422" s="75" t="n"/>
    </row>
    <row r="423" ht="25" customHeight="1" s="18">
      <c r="A423" s="102" t="n"/>
      <c r="B423" s="66" t="n"/>
      <c r="C423" s="77" t="n"/>
      <c r="D423" s="77" t="n"/>
      <c r="E423" s="78" t="n"/>
    </row>
    <row r="424" ht="25" customHeight="1" s="18">
      <c r="A424" s="101" t="n"/>
      <c r="B424" s="89" t="n"/>
      <c r="C424" s="74" t="n"/>
      <c r="D424" s="74" t="n"/>
      <c r="E424" s="75" t="n"/>
    </row>
    <row r="425" ht="25" customHeight="1" s="18">
      <c r="A425" s="102" t="n"/>
      <c r="B425" s="66" t="n"/>
      <c r="C425" s="77" t="n"/>
      <c r="D425" s="77" t="n"/>
      <c r="E425" s="78" t="n"/>
    </row>
    <row r="426" ht="25" customHeight="1" s="18">
      <c r="A426" s="101" t="n"/>
      <c r="B426" s="89" t="n"/>
      <c r="C426" s="74" t="n"/>
      <c r="D426" s="74" t="n"/>
      <c r="E426" s="75" t="n"/>
    </row>
    <row r="427" ht="25" customHeight="1" s="18">
      <c r="A427" s="102" t="n"/>
      <c r="B427" s="66" t="n"/>
      <c r="C427" s="77" t="n"/>
      <c r="D427" s="77" t="n"/>
      <c r="E427" s="78" t="n"/>
    </row>
    <row r="428" ht="25" customHeight="1" s="18">
      <c r="A428" s="101" t="n"/>
      <c r="B428" s="89" t="n"/>
      <c r="C428" s="74" t="n"/>
      <c r="D428" s="74" t="n"/>
      <c r="E428" s="75" t="n"/>
    </row>
    <row r="429" ht="25" customHeight="1" s="18">
      <c r="A429" s="102" t="n"/>
      <c r="B429" s="66" t="n"/>
      <c r="C429" s="77" t="n"/>
      <c r="D429" s="77" t="n"/>
      <c r="E429" s="78" t="n"/>
    </row>
    <row r="430" ht="25" customHeight="1" s="18">
      <c r="A430" s="101" t="n"/>
      <c r="B430" s="89" t="n"/>
      <c r="C430" s="74" t="n"/>
      <c r="D430" s="74" t="n"/>
      <c r="E430" s="75" t="n"/>
    </row>
    <row r="431" ht="25" customHeight="1" s="18">
      <c r="A431" s="102" t="n"/>
      <c r="B431" s="66" t="n"/>
      <c r="C431" s="77" t="n"/>
      <c r="D431" s="77" t="n"/>
      <c r="E431" s="78" t="n"/>
    </row>
    <row r="432" ht="25" customHeight="1" s="18">
      <c r="A432" s="101" t="n"/>
      <c r="B432" s="89" t="n"/>
      <c r="C432" s="74" t="n"/>
      <c r="D432" s="74" t="n"/>
      <c r="E432" s="75" t="n"/>
    </row>
    <row r="433" ht="25" customHeight="1" s="18">
      <c r="A433" s="102" t="n"/>
      <c r="B433" s="66" t="n"/>
      <c r="C433" s="77" t="n"/>
      <c r="D433" s="77" t="n"/>
      <c r="E433" s="78" t="n"/>
    </row>
    <row r="434" ht="25" customHeight="1" s="18">
      <c r="A434" s="101" t="n"/>
      <c r="B434" s="89" t="n"/>
      <c r="C434" s="74" t="n"/>
      <c r="D434" s="74" t="n"/>
      <c r="E434" s="75" t="n"/>
    </row>
    <row r="435" ht="25" customHeight="1" s="18">
      <c r="A435" s="102" t="n"/>
      <c r="B435" s="66" t="n"/>
      <c r="C435" s="77" t="n"/>
      <c r="D435" s="77" t="n"/>
      <c r="E435" s="78" t="n"/>
    </row>
    <row r="436" ht="25" customHeight="1" s="18">
      <c r="A436" s="101" t="n"/>
      <c r="B436" s="89" t="n"/>
      <c r="C436" s="74" t="n"/>
      <c r="D436" s="74" t="n"/>
      <c r="E436" s="75" t="n"/>
    </row>
    <row r="437" ht="25" customHeight="1" s="18">
      <c r="A437" s="102" t="n"/>
      <c r="B437" s="66" t="n"/>
      <c r="C437" s="77" t="n"/>
      <c r="D437" s="77" t="n"/>
      <c r="E437" s="78" t="n"/>
    </row>
    <row r="438" ht="25" customHeight="1" s="18">
      <c r="A438" s="101" t="n"/>
      <c r="B438" s="89" t="n"/>
      <c r="C438" s="74" t="n"/>
      <c r="D438" s="74" t="n"/>
      <c r="E438" s="75" t="n"/>
    </row>
    <row r="439" ht="25" customHeight="1" s="18">
      <c r="A439" s="102" t="n"/>
      <c r="B439" s="66" t="n"/>
      <c r="C439" s="77" t="n"/>
      <c r="D439" s="77" t="n"/>
      <c r="E439" s="78" t="n"/>
    </row>
    <row r="440" ht="25" customHeight="1" s="18">
      <c r="A440" s="101" t="n"/>
      <c r="B440" s="89" t="n"/>
      <c r="C440" s="74" t="n"/>
      <c r="D440" s="74" t="n"/>
      <c r="E440" s="75" t="n"/>
    </row>
    <row r="441" ht="25" customHeight="1" s="18">
      <c r="A441" s="102" t="n"/>
      <c r="B441" s="66" t="n"/>
      <c r="C441" s="77" t="n"/>
      <c r="D441" s="77" t="n"/>
      <c r="E441" s="78" t="n"/>
    </row>
    <row r="442" ht="25" customHeight="1" s="18">
      <c r="A442" s="101" t="n"/>
      <c r="B442" s="89" t="n"/>
      <c r="C442" s="74" t="n"/>
      <c r="D442" s="74" t="n"/>
      <c r="E442" s="75" t="n"/>
    </row>
    <row r="443" ht="25" customHeight="1" s="18">
      <c r="A443" s="102" t="n"/>
      <c r="B443" s="66" t="n"/>
      <c r="C443" s="77" t="n"/>
      <c r="D443" s="77" t="n"/>
      <c r="E443" s="78" t="n"/>
    </row>
    <row r="444" ht="25" customHeight="1" s="18">
      <c r="A444" s="101" t="n"/>
      <c r="B444" s="89" t="n"/>
      <c r="C444" s="74" t="n"/>
      <c r="D444" s="74" t="n"/>
      <c r="E444" s="75" t="n"/>
    </row>
    <row r="445" ht="25" customHeight="1" s="18">
      <c r="A445" s="102" t="n"/>
      <c r="B445" s="66" t="n"/>
      <c r="C445" s="77" t="n"/>
      <c r="D445" s="77" t="n"/>
      <c r="E445" s="78" t="n"/>
    </row>
    <row r="446" ht="25" customHeight="1" s="18">
      <c r="A446" s="101" t="n"/>
      <c r="B446" s="89" t="n"/>
      <c r="C446" s="74" t="n"/>
      <c r="D446" s="74" t="n"/>
      <c r="E446" s="75" t="n"/>
    </row>
    <row r="447" ht="25" customHeight="1" s="18">
      <c r="A447" s="102" t="n"/>
      <c r="B447" s="66" t="n"/>
      <c r="C447" s="77" t="n"/>
      <c r="D447" s="77" t="n"/>
      <c r="E447" s="78" t="n"/>
    </row>
    <row r="448" ht="25" customHeight="1" s="18">
      <c r="A448" s="101" t="n"/>
      <c r="B448" s="89" t="n"/>
      <c r="C448" s="74" t="n"/>
      <c r="D448" s="74" t="n"/>
      <c r="E448" s="75" t="n"/>
    </row>
    <row r="449" ht="25" customHeight="1" s="18">
      <c r="A449" s="102" t="n"/>
      <c r="B449" s="66" t="n"/>
      <c r="C449" s="77" t="n"/>
      <c r="D449" s="77" t="n"/>
      <c r="E449" s="78" t="n"/>
    </row>
    <row r="450" ht="25" customHeight="1" s="18">
      <c r="A450" s="101" t="n"/>
      <c r="B450" s="89" t="n"/>
      <c r="C450" s="74" t="n"/>
      <c r="D450" s="74" t="n"/>
      <c r="E450" s="75" t="n"/>
    </row>
    <row r="451" ht="25" customHeight="1" s="18">
      <c r="A451" s="102" t="n"/>
      <c r="B451" s="66" t="n"/>
      <c r="C451" s="77" t="n"/>
      <c r="D451" s="77" t="n"/>
      <c r="E451" s="78" t="n"/>
    </row>
    <row r="452" ht="25" customHeight="1" s="18">
      <c r="A452" s="101" t="n"/>
      <c r="B452" s="89" t="n"/>
      <c r="C452" s="74" t="n"/>
      <c r="D452" s="74" t="n"/>
      <c r="E452" s="75" t="n"/>
    </row>
    <row r="453" ht="25" customHeight="1" s="18">
      <c r="A453" s="102" t="n"/>
      <c r="B453" s="66" t="n"/>
      <c r="C453" s="77" t="n"/>
      <c r="D453" s="77" t="n"/>
      <c r="E453" s="78" t="n"/>
    </row>
    <row r="454" ht="25" customHeight="1" s="18">
      <c r="A454" s="101" t="n"/>
      <c r="B454" s="89" t="n"/>
      <c r="C454" s="74" t="n"/>
      <c r="D454" s="74" t="n"/>
      <c r="E454" s="75" t="n"/>
    </row>
    <row r="455" ht="25" customHeight="1" s="18">
      <c r="A455" s="102" t="n"/>
      <c r="B455" s="66" t="n"/>
      <c r="C455" s="77" t="n"/>
      <c r="D455" s="77" t="n"/>
      <c r="E455" s="78" t="n"/>
    </row>
    <row r="456" ht="25" customHeight="1" s="18">
      <c r="A456" s="101" t="n"/>
      <c r="B456" s="89" t="n"/>
      <c r="C456" s="74" t="n"/>
      <c r="D456" s="74" t="n"/>
      <c r="E456" s="75" t="n"/>
    </row>
    <row r="457" ht="25" customHeight="1" s="18">
      <c r="A457" s="102" t="n"/>
      <c r="B457" s="66" t="n"/>
      <c r="C457" s="77" t="n"/>
      <c r="D457" s="77" t="n"/>
      <c r="E457" s="78" t="n"/>
    </row>
    <row r="458" ht="25" customHeight="1" s="18">
      <c r="A458" s="101" t="n"/>
      <c r="B458" s="89" t="n"/>
      <c r="C458" s="74" t="n"/>
      <c r="D458" s="74" t="n"/>
      <c r="E458" s="75" t="n"/>
    </row>
    <row r="459" ht="25" customHeight="1" s="18">
      <c r="A459" s="102" t="n"/>
      <c r="B459" s="66" t="n"/>
      <c r="C459" s="77" t="n"/>
      <c r="D459" s="77" t="n"/>
      <c r="E459" s="78" t="n"/>
    </row>
    <row r="460" ht="25" customHeight="1" s="18">
      <c r="A460" s="101" t="n"/>
      <c r="B460" s="89" t="n"/>
      <c r="C460" s="74" t="n"/>
      <c r="D460" s="74" t="n"/>
      <c r="E460" s="75" t="n"/>
    </row>
    <row r="461" ht="25" customHeight="1" s="18">
      <c r="A461" s="102" t="n"/>
      <c r="B461" s="66" t="n"/>
      <c r="C461" s="77" t="n"/>
      <c r="D461" s="77" t="n"/>
      <c r="E461" s="78" t="n"/>
    </row>
    <row r="462" ht="25" customHeight="1" s="18">
      <c r="A462" s="101" t="n"/>
      <c r="B462" s="89" t="n"/>
      <c r="C462" s="74" t="n"/>
      <c r="D462" s="74" t="n"/>
      <c r="E462" s="75" t="n"/>
    </row>
    <row r="463" ht="25" customHeight="1" s="18">
      <c r="A463" s="102" t="n"/>
      <c r="B463" s="66" t="n"/>
      <c r="C463" s="77" t="n"/>
      <c r="D463" s="77" t="n"/>
      <c r="E463" s="78" t="n"/>
    </row>
    <row r="464" ht="25" customHeight="1" s="18">
      <c r="A464" s="101" t="n"/>
      <c r="B464" s="89" t="n"/>
      <c r="C464" s="74" t="n"/>
      <c r="D464" s="74" t="n"/>
      <c r="E464" s="75" t="n"/>
    </row>
    <row r="465" ht="25" customHeight="1" s="18">
      <c r="A465" s="102" t="n"/>
      <c r="B465" s="66" t="n"/>
      <c r="C465" s="77" t="n"/>
      <c r="D465" s="77" t="n"/>
      <c r="E465" s="78" t="n"/>
    </row>
    <row r="466" ht="25" customHeight="1" s="18">
      <c r="A466" s="101" t="n"/>
      <c r="B466" s="89" t="n"/>
      <c r="C466" s="74" t="n"/>
      <c r="D466" s="74" t="n"/>
      <c r="E466" s="75" t="n"/>
    </row>
    <row r="467" ht="25" customHeight="1" s="18">
      <c r="A467" s="102" t="n"/>
      <c r="B467" s="66" t="n"/>
      <c r="C467" s="77" t="n"/>
      <c r="D467" s="77" t="n"/>
      <c r="E467" s="78" t="n"/>
    </row>
    <row r="468" ht="25" customHeight="1" s="18">
      <c r="A468" s="101" t="n"/>
      <c r="B468" s="89" t="n"/>
      <c r="C468" s="74" t="n"/>
      <c r="D468" s="74" t="n"/>
      <c r="E468" s="75" t="n"/>
    </row>
    <row r="469" ht="25" customHeight="1" s="18">
      <c r="A469" s="102" t="n"/>
      <c r="B469" s="66" t="n"/>
      <c r="C469" s="77" t="n"/>
      <c r="D469" s="77" t="n"/>
      <c r="E469" s="78" t="n"/>
    </row>
    <row r="470" ht="25" customHeight="1" s="18">
      <c r="A470" s="101" t="n"/>
      <c r="B470" s="89" t="n"/>
      <c r="C470" s="74" t="n"/>
      <c r="D470" s="74" t="n"/>
      <c r="E470" s="75" t="n"/>
    </row>
    <row r="471" ht="25" customHeight="1" s="18">
      <c r="A471" s="102" t="n"/>
      <c r="B471" s="66" t="n"/>
      <c r="C471" s="77" t="n"/>
      <c r="D471" s="77" t="n"/>
      <c r="E471" s="78" t="n"/>
    </row>
    <row r="472" ht="25" customHeight="1" s="18">
      <c r="A472" s="101" t="n"/>
      <c r="B472" s="89" t="n"/>
      <c r="C472" s="74" t="n"/>
      <c r="D472" s="74" t="n"/>
      <c r="E472" s="75" t="n"/>
    </row>
    <row r="473" ht="25" customHeight="1" s="18">
      <c r="A473" s="102" t="n"/>
      <c r="B473" s="66" t="n"/>
      <c r="C473" s="77" t="n"/>
      <c r="D473" s="77" t="n"/>
      <c r="E473" s="78" t="n"/>
    </row>
    <row r="474" ht="25" customHeight="1" s="18">
      <c r="A474" s="101" t="n"/>
      <c r="B474" s="89" t="n"/>
      <c r="C474" s="74" t="n"/>
      <c r="D474" s="74" t="n"/>
      <c r="E474" s="75" t="n"/>
    </row>
    <row r="475" ht="25" customHeight="1" s="18">
      <c r="A475" s="102" t="n"/>
      <c r="B475" s="66" t="n"/>
      <c r="C475" s="77" t="n"/>
      <c r="D475" s="77" t="n"/>
      <c r="E475" s="78" t="n"/>
    </row>
    <row r="476" ht="25" customHeight="1" s="18">
      <c r="A476" s="101" t="n"/>
      <c r="B476" s="89" t="n"/>
      <c r="C476" s="74" t="n"/>
      <c r="D476" s="74" t="n"/>
      <c r="E476" s="75" t="n"/>
    </row>
    <row r="477" ht="25" customHeight="1" s="18">
      <c r="A477" s="102" t="n"/>
      <c r="B477" s="66" t="n"/>
      <c r="C477" s="77" t="n"/>
      <c r="D477" s="77" t="n"/>
      <c r="E477" s="78" t="n"/>
    </row>
    <row r="478" ht="25" customHeight="1" s="18">
      <c r="A478" s="101" t="n"/>
      <c r="B478" s="89" t="n"/>
      <c r="C478" s="74" t="n"/>
      <c r="D478" s="74" t="n"/>
      <c r="E478" s="75" t="n"/>
    </row>
    <row r="479" ht="25" customHeight="1" s="18">
      <c r="A479" s="102" t="n"/>
      <c r="B479" s="66" t="n"/>
      <c r="C479" s="77" t="n"/>
      <c r="D479" s="77" t="n"/>
      <c r="E479" s="78" t="n"/>
    </row>
    <row r="480" ht="25" customHeight="1" s="18">
      <c r="A480" s="101" t="n"/>
      <c r="B480" s="89" t="n"/>
      <c r="C480" s="74" t="n"/>
      <c r="D480" s="74" t="n"/>
      <c r="E480" s="75" t="n"/>
    </row>
    <row r="481" ht="25" customHeight="1" s="18">
      <c r="A481" s="102" t="n"/>
      <c r="B481" s="66" t="n"/>
      <c r="C481" s="77" t="n"/>
      <c r="D481" s="77" t="n"/>
      <c r="E481" s="78" t="n"/>
    </row>
    <row r="482" ht="25" customHeight="1" s="18">
      <c r="A482" s="101" t="n"/>
      <c r="B482" s="89" t="n"/>
      <c r="C482" s="74" t="n"/>
      <c r="D482" s="74" t="n"/>
      <c r="E482" s="75" t="n"/>
    </row>
    <row r="483" ht="25" customHeight="1" s="18">
      <c r="A483" s="102" t="n"/>
      <c r="B483" s="66" t="n"/>
      <c r="C483" s="77" t="n"/>
      <c r="D483" s="77" t="n"/>
      <c r="E483" s="78" t="n"/>
    </row>
    <row r="484" ht="25" customHeight="1" s="18">
      <c r="A484" s="101" t="n"/>
      <c r="B484" s="89" t="n"/>
      <c r="C484" s="74" t="n"/>
      <c r="D484" s="74" t="n"/>
      <c r="E484" s="75" t="n"/>
    </row>
    <row r="485" ht="25" customHeight="1" s="18">
      <c r="A485" s="102" t="n"/>
      <c r="B485" s="66" t="n"/>
      <c r="C485" s="77" t="n"/>
      <c r="D485" s="77" t="n"/>
      <c r="E485" s="78" t="n"/>
    </row>
    <row r="486" ht="25" customHeight="1" s="18">
      <c r="A486" s="101" t="n"/>
      <c r="B486" s="89" t="n"/>
      <c r="C486" s="74" t="n"/>
      <c r="D486" s="74" t="n"/>
      <c r="E486" s="75" t="n"/>
    </row>
    <row r="487" ht="25" customHeight="1" s="18">
      <c r="A487" s="102" t="n"/>
      <c r="B487" s="66" t="n"/>
      <c r="C487" s="77" t="n"/>
      <c r="D487" s="77" t="n"/>
      <c r="E487" s="78" t="n"/>
    </row>
    <row r="488" ht="25" customHeight="1" s="18">
      <c r="A488" s="101" t="n"/>
      <c r="B488" s="89" t="n"/>
      <c r="C488" s="74" t="n"/>
      <c r="D488" s="74" t="n"/>
      <c r="E488" s="75" t="n"/>
    </row>
    <row r="489" ht="25" customHeight="1" s="18">
      <c r="A489" s="102" t="n"/>
      <c r="B489" s="66" t="n"/>
      <c r="C489" s="77" t="n"/>
      <c r="D489" s="77" t="n"/>
      <c r="E489" s="78" t="n"/>
    </row>
    <row r="490" ht="25" customHeight="1" s="18">
      <c r="A490" s="101" t="n"/>
      <c r="B490" s="89" t="n"/>
      <c r="C490" s="74" t="n"/>
      <c r="D490" s="74" t="n"/>
      <c r="E490" s="75" t="n"/>
    </row>
    <row r="491" ht="25" customHeight="1" s="18">
      <c r="A491" s="102" t="n"/>
      <c r="B491" s="66" t="n"/>
      <c r="C491" s="77" t="n"/>
      <c r="D491" s="77" t="n"/>
      <c r="E491" s="78" t="n"/>
    </row>
    <row r="492" ht="25" customHeight="1" s="18">
      <c r="A492" s="101" t="n"/>
      <c r="B492" s="89" t="n"/>
      <c r="C492" s="74" t="n"/>
      <c r="D492" s="74" t="n"/>
      <c r="E492" s="75" t="n"/>
    </row>
    <row r="493" ht="25" customHeight="1" s="18">
      <c r="A493" s="102" t="n"/>
      <c r="B493" s="66" t="n"/>
      <c r="C493" s="77" t="n"/>
      <c r="D493" s="77" t="n"/>
      <c r="E493" s="78" t="n"/>
    </row>
    <row r="494" ht="25" customHeight="1" s="18">
      <c r="A494" s="101" t="n"/>
      <c r="B494" s="89" t="n"/>
      <c r="C494" s="74" t="n"/>
      <c r="D494" s="74" t="n"/>
      <c r="E494" s="75" t="n"/>
    </row>
    <row r="495" ht="25" customHeight="1" s="18">
      <c r="A495" s="102" t="n"/>
      <c r="B495" s="66" t="n"/>
      <c r="C495" s="77" t="n"/>
      <c r="D495" s="77" t="n"/>
      <c r="E495" s="78" t="n"/>
    </row>
    <row r="496" ht="25" customHeight="1" s="18">
      <c r="A496" s="101" t="n"/>
      <c r="B496" s="89" t="n"/>
      <c r="C496" s="74" t="n"/>
      <c r="D496" s="74" t="n"/>
      <c r="E496" s="75" t="n"/>
    </row>
    <row r="497" ht="25" customHeight="1" s="18">
      <c r="A497" s="102" t="n"/>
      <c r="B497" s="66" t="n"/>
      <c r="C497" s="77" t="n"/>
      <c r="D497" s="77" t="n"/>
      <c r="E497" s="78" t="n"/>
    </row>
    <row r="498" ht="25" customHeight="1" s="18">
      <c r="A498" s="101" t="n"/>
      <c r="B498" s="89" t="n"/>
      <c r="C498" s="74" t="n"/>
      <c r="D498" s="74" t="n"/>
      <c r="E498" s="75" t="n"/>
    </row>
    <row r="499" ht="25" customHeight="1" s="18">
      <c r="A499" s="102" t="n"/>
      <c r="B499" s="66" t="n"/>
      <c r="C499" s="77" t="n"/>
      <c r="D499" s="77" t="n"/>
      <c r="E499" s="78" t="n"/>
    </row>
  </sheetData>
  <conditionalFormatting sqref="D2:D500">
    <cfRule type="expression" priority="1" dxfId="8">
      <formula>D2="Gasto"</formula>
    </cfRule>
    <cfRule type="expression" priority="2" dxfId="7">
      <formula>D2="Ingreso"</formula>
    </cfRule>
  </conditionalFormatting>
  <dataValidations count="3">
    <dataValidation sqref="C2:C500" showDropDown="0" showInputMessage="0" showErrorMessage="0" allowBlank="1" type="list">
      <formula1>'Categorías'!$A$2:$A$15</formula1>
    </dataValidation>
    <dataValidation sqref="D2:D500" showDropDown="0" showInputMessage="0" showErrorMessage="0" allowBlank="1" type="list">
      <formula1>"Ingreso,Gasto"</formula1>
    </dataValidation>
    <dataValidation sqref="A2:A500" showDropDown="0" showInputMessage="0" showErrorMessage="0" allowBlank="1" errorTitle="Fecha no válida" error="Por favor introduce una fecha válida (dd/mm/yyyy) o utiliza el selector de fecha." type="date" operator="greaterThanOrEqual">
      <formula1>DATE(2000,1,1)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 outlineLevelCol="0"/>
  <cols>
    <col width="18" customWidth="1" style="18" min="1" max="1"/>
    <col width="22" customWidth="1" style="18" min="2" max="2"/>
    <col width="22" customWidth="1" style="18" min="3" max="3"/>
    <col width="24" customWidth="1" style="18" min="4" max="4"/>
    <col width="22" customWidth="1" style="18" min="5" max="5"/>
    <col width="24" customWidth="1" style="18" min="6" max="6"/>
    <col width="24" customWidth="1" style="18" min="7" max="7"/>
    <col width="24" customWidth="1" style="18" min="8" max="8"/>
    <col width="24" customWidth="1" style="18" min="9" max="9"/>
    <col width="24" customWidth="1" style="18" min="10" max="10"/>
    <col width="24" customWidth="1" style="18" min="11" max="11"/>
    <col width="24" customWidth="1" style="18" min="12" max="12"/>
    <col width="24" customWidth="1" style="18" min="13" max="13"/>
    <col width="24" customWidth="1" style="18" min="14" max="14"/>
    <col width="24" customWidth="1" style="18" min="15" max="15"/>
    <col width="24" customWidth="1" style="18" min="16" max="16"/>
    <col width="24" customWidth="1" style="18" min="17" max="17"/>
    <col width="24" customWidth="1" style="18" min="18" max="18"/>
  </cols>
  <sheetData>
    <row r="1" ht="35" customHeight="1" s="18">
      <c r="A1" s="25" t="inlineStr">
        <is>
          <t>MATRIZ DE RESUMEN MENSUAL Y ANÁLISIS DE GASTOS 2028</t>
        </is>
      </c>
    </row>
    <row r="2" ht="30" customHeight="1" s="18">
      <c r="A2" s="96" t="inlineStr">
        <is>
          <t>Mes</t>
        </is>
      </c>
      <c r="B2" s="65" t="inlineStr">
        <is>
          <t>Ingresos (€)</t>
        </is>
      </c>
      <c r="C2" s="65" t="inlineStr">
        <is>
          <t>Gastos (€)</t>
        </is>
      </c>
      <c r="D2" s="65" t="inlineStr">
        <is>
          <t>Ahorro Neto (€)</t>
        </is>
      </c>
      <c r="E2" s="96" t="inlineStr">
        <is>
          <t>Tasa de Ahorro (%)</t>
        </is>
      </c>
      <c r="F2" s="65" t="inlineStr">
        <is>
          <t>Vivienda</t>
        </is>
      </c>
      <c r="G2" s="65" t="inlineStr">
        <is>
          <t>Comida y bebida</t>
        </is>
      </c>
      <c r="H2" s="65" t="inlineStr">
        <is>
          <t>Ocio / Viajes</t>
        </is>
      </c>
      <c r="I2" s="65" t="inlineStr">
        <is>
          <t>Ocio / salidas</t>
        </is>
      </c>
      <c r="J2" s="65" t="inlineStr">
        <is>
          <t>Tecnología / Otros</t>
        </is>
      </c>
      <c r="K2" s="65" t="inlineStr">
        <is>
          <t>Transporte / Gasolina</t>
        </is>
      </c>
      <c r="L2" s="65" t="inlineStr">
        <is>
          <t>Ocio / Eventos</t>
        </is>
      </c>
      <c r="M2" s="65" t="inlineStr">
        <is>
          <t>Salud</t>
        </is>
      </c>
      <c r="N2" s="65" t="inlineStr">
        <is>
          <t>Educación</t>
        </is>
      </c>
      <c r="O2" s="65" t="inlineStr">
        <is>
          <t>Ropa</t>
        </is>
      </c>
      <c r="P2" s="65" t="inlineStr">
        <is>
          <t>Suscripciones</t>
        </is>
      </c>
      <c r="Q2" s="65" t="inlineStr">
        <is>
          <t>Mascotas</t>
        </is>
      </c>
      <c r="R2" s="65" t="inlineStr">
        <is>
          <t>Otros</t>
        </is>
      </c>
    </row>
    <row r="3" ht="24" customHeight="1" s="18">
      <c r="A3" s="97" t="inlineStr">
        <is>
          <t>Enero</t>
        </is>
      </c>
      <c r="B3" s="78">
        <f>IF(COUNTIFS('Gastos e Ingresos 2028'!$A:$A, "&gt;="&amp;DATE(2028, 1, 1), 'Gastos e Ingresos 2028'!$A:$A, "&lt;"&amp;DATE(2028, 2, 1))&gt;0, SUMIFS('Gastos e Ingresos 2028'!$E:$E, 'Gastos e Ingresos 2028'!$D:$D, "Ingreso", 'Gastos e Ingresos 2028'!$A:$A, "&gt;="&amp;DATE(2028, 1, 1), 'Gastos e Ingresos 2028'!$A:$A, "&lt;"&amp;DATE(2028, 2, 1)), "")</f>
        <v/>
      </c>
      <c r="C3" s="78">
        <f>IF(COUNTIFS('Gastos e Ingresos 2028'!$A:$A, "&gt;="&amp;DATE(2028, 1, 1), 'Gastos e Ingresos 2028'!$A:$A, "&lt;"&amp;DATE(2028, 2, 1))&gt;0, SUMIFS('Gastos e Ingresos 2028'!$E:$E, 'Gastos e Ingresos 2028'!$D:$D, "Gasto", 'Gastos e Ingresos 2028'!$A:$A, "&gt;="&amp;DATE(2028, 1, 1), 'Gastos e Ingresos 2028'!$A:$A, "&lt;"&amp;DATE(2028, 2, 1)), "")</f>
        <v/>
      </c>
      <c r="D3" s="83">
        <f>IF(B3="","",B3-C3)</f>
        <v/>
      </c>
      <c r="E3" s="98">
        <f>IF(B3="","",IF(B3&gt;0, D3/B3, 0))</f>
        <v/>
      </c>
      <c r="F3" s="78">
        <f>IF(COUNTIFS('Gastos e Ingresos 2028'!$A:$A, "&gt;="&amp;DATE(2028, 1, 1), 'Gastos e Ingresos 2028'!$A:$A, "&lt;"&amp;DATE(2028, 2, 1))&gt;0, SUMIFS('Gastos e Ingresos 2028'!$E:$E, 'Gastos e Ingresos 2028'!$D:$D, "Gasto", 'Gastos e Ingresos 2028'!$C:$C, F$2, 'Gastos e Ingresos 2028'!$A:$A, "&gt;="&amp;DATE(2028, 1, 1), 'Gastos e Ingresos 2028'!$A:$A, "&lt;"&amp;DATE(2028, 2, 1)), "")</f>
        <v/>
      </c>
      <c r="G3" s="78">
        <f>IF(COUNTIFS('Gastos e Ingresos 2028'!$A:$A, "&gt;="&amp;DATE(2028, 1, 1), 'Gastos e Ingresos 2028'!$A:$A, "&lt;"&amp;DATE(2028, 2, 1))&gt;0, SUMIFS('Gastos e Ingresos 2028'!$E:$E, 'Gastos e Ingresos 2028'!$D:$D, "Gasto", 'Gastos e Ingresos 2028'!$C:$C, G$2, 'Gastos e Ingresos 2028'!$A:$A, "&gt;="&amp;DATE(2028, 1, 1), 'Gastos e Ingresos 2028'!$A:$A, "&lt;"&amp;DATE(2028, 2, 1)), "")</f>
        <v/>
      </c>
      <c r="H3" s="78">
        <f>IF(COUNTIFS('Gastos e Ingresos 2028'!$A:$A, "&gt;="&amp;DATE(2028, 1, 1), 'Gastos e Ingresos 2028'!$A:$A, "&lt;"&amp;DATE(2028, 2, 1))&gt;0, SUMIFS('Gastos e Ingresos 2028'!$E:$E, 'Gastos e Ingresos 2028'!$D:$D, "Gasto", 'Gastos e Ingresos 2028'!$C:$C, H$2, 'Gastos e Ingresos 2028'!$A:$A, "&gt;="&amp;DATE(2028, 1, 1), 'Gastos e Ingresos 2028'!$A:$A, "&lt;"&amp;DATE(2028, 2, 1)), "")</f>
        <v/>
      </c>
      <c r="I3" s="78">
        <f>IF(COUNTIFS('Gastos e Ingresos 2028'!$A:$A, "&gt;="&amp;DATE(2028, 1, 1), 'Gastos e Ingresos 2028'!$A:$A, "&lt;"&amp;DATE(2028, 2, 1))&gt;0, SUMIFS('Gastos e Ingresos 2028'!$E:$E, 'Gastos e Ingresos 2028'!$D:$D, "Gasto", 'Gastos e Ingresos 2028'!$C:$C, I$2, 'Gastos e Ingresos 2028'!$A:$A, "&gt;="&amp;DATE(2028, 1, 1), 'Gastos e Ingresos 2028'!$A:$A, "&lt;"&amp;DATE(2028, 2, 1)), "")</f>
        <v/>
      </c>
      <c r="J3" s="78">
        <f>IF(COUNTIFS('Gastos e Ingresos 2028'!$A:$A, "&gt;="&amp;DATE(2028, 1, 1), 'Gastos e Ingresos 2028'!$A:$A, "&lt;"&amp;DATE(2028, 2, 1))&gt;0, SUMIFS('Gastos e Ingresos 2028'!$E:$E, 'Gastos e Ingresos 2028'!$D:$D, "Gasto", 'Gastos e Ingresos 2028'!$C:$C, J$2, 'Gastos e Ingresos 2028'!$A:$A, "&gt;="&amp;DATE(2028, 1, 1), 'Gastos e Ingresos 2028'!$A:$A, "&lt;"&amp;DATE(2028, 2, 1)), "")</f>
        <v/>
      </c>
      <c r="K3" s="78">
        <f>IF(COUNTIFS('Gastos e Ingresos 2028'!$A:$A, "&gt;="&amp;DATE(2028, 1, 1), 'Gastos e Ingresos 2028'!$A:$A, "&lt;"&amp;DATE(2028, 2, 1))&gt;0, SUMIFS('Gastos e Ingresos 2028'!$E:$E, 'Gastos e Ingresos 2028'!$D:$D, "Gasto", 'Gastos e Ingresos 2028'!$C:$C, K$2, 'Gastos e Ingresos 2028'!$A:$A, "&gt;="&amp;DATE(2028, 1, 1), 'Gastos e Ingresos 2028'!$A:$A, "&lt;"&amp;DATE(2028, 2, 1)), "")</f>
        <v/>
      </c>
      <c r="L3" s="78">
        <f>IF(COUNTIFS('Gastos e Ingresos 2028'!$A:$A, "&gt;="&amp;DATE(2028, 1, 1), 'Gastos e Ingresos 2028'!$A:$A, "&lt;"&amp;DATE(2028, 2, 1))&gt;0, SUMIFS('Gastos e Ingresos 2028'!$E:$E, 'Gastos e Ingresos 2028'!$D:$D, "Gasto", 'Gastos e Ingresos 2028'!$C:$C, L$2, 'Gastos e Ingresos 2028'!$A:$A, "&gt;="&amp;DATE(2028, 1, 1), 'Gastos e Ingresos 2028'!$A:$A, "&lt;"&amp;DATE(2028, 2, 1)), "")</f>
        <v/>
      </c>
      <c r="M3" s="78">
        <f>IF(COUNTIFS('Gastos e Ingresos 2028'!$A:$A, "&gt;="&amp;DATE(2028, 1, 1), 'Gastos e Ingresos 2028'!$A:$A, "&lt;"&amp;DATE(2028, 2, 1))&gt;0, SUMIFS('Gastos e Ingresos 2028'!$E:$E, 'Gastos e Ingresos 2028'!$D:$D, "Gasto", 'Gastos e Ingresos 2028'!$C:$C, M$2, 'Gastos e Ingresos 2028'!$A:$A, "&gt;="&amp;DATE(2028, 1, 1), 'Gastos e Ingresos 2028'!$A:$A, "&lt;"&amp;DATE(2028, 2, 1)), "")</f>
        <v/>
      </c>
      <c r="N3" s="78">
        <f>IF(COUNTIFS('Gastos e Ingresos 2028'!$A:$A, "&gt;="&amp;DATE(2028, 1, 1), 'Gastos e Ingresos 2028'!$A:$A, "&lt;"&amp;DATE(2028, 2, 1))&gt;0, SUMIFS('Gastos e Ingresos 2028'!$E:$E, 'Gastos e Ingresos 2028'!$D:$D, "Gasto", 'Gastos e Ingresos 2028'!$C:$C, N$2, 'Gastos e Ingresos 2028'!$A:$A, "&gt;="&amp;DATE(2028, 1, 1), 'Gastos e Ingresos 2028'!$A:$A, "&lt;"&amp;DATE(2028, 2, 1)), "")</f>
        <v/>
      </c>
      <c r="O3" s="78">
        <f>IF(COUNTIFS('Gastos e Ingresos 2028'!$A:$A, "&gt;="&amp;DATE(2028, 1, 1), 'Gastos e Ingresos 2028'!$A:$A, "&lt;"&amp;DATE(2028, 2, 1))&gt;0, SUMIFS('Gastos e Ingresos 2028'!$E:$E, 'Gastos e Ingresos 2028'!$D:$D, "Gasto", 'Gastos e Ingresos 2028'!$C:$C, O$2, 'Gastos e Ingresos 2028'!$A:$A, "&gt;="&amp;DATE(2028, 1, 1), 'Gastos e Ingresos 2028'!$A:$A, "&lt;"&amp;DATE(2028, 2, 1)), "")</f>
        <v/>
      </c>
      <c r="P3" s="78">
        <f>IF(COUNTIFS('Gastos e Ingresos 2028'!$A:$A, "&gt;="&amp;DATE(2028, 1, 1), 'Gastos e Ingresos 2028'!$A:$A, "&lt;"&amp;DATE(2028, 2, 1))&gt;0, SUMIFS('Gastos e Ingresos 2028'!$E:$E, 'Gastos e Ingresos 2028'!$D:$D, "Gasto", 'Gastos e Ingresos 2028'!$C:$C, P$2, 'Gastos e Ingresos 2028'!$A:$A, "&gt;="&amp;DATE(2028, 1, 1), 'Gastos e Ingresos 2028'!$A:$A, "&lt;"&amp;DATE(2028, 2, 1)), "")</f>
        <v/>
      </c>
      <c r="Q3" s="78">
        <f>IF(COUNTIFS('Gastos e Ingresos 2028'!$A:$A, "&gt;="&amp;DATE(2028, 1, 1), 'Gastos e Ingresos 2028'!$A:$A, "&lt;"&amp;DATE(2028, 2, 1))&gt;0, SUMIFS('Gastos e Ingresos 2028'!$E:$E, 'Gastos e Ingresos 2028'!$D:$D, "Gasto", 'Gastos e Ingresos 2028'!$C:$C, Q$2, 'Gastos e Ingresos 2028'!$A:$A, "&gt;="&amp;DATE(2028, 1, 1), 'Gastos e Ingresos 2028'!$A:$A, "&lt;"&amp;DATE(2028, 2, 1)), "")</f>
        <v/>
      </c>
      <c r="R3" s="78">
        <f>IF(COUNTIFS('Gastos e Ingresos 2028'!$A:$A, "&gt;="&amp;DATE(2028, 1, 1), 'Gastos e Ingresos 2028'!$A:$A, "&lt;"&amp;DATE(2028, 2, 1))&gt;0, SUMIFS('Gastos e Ingresos 2028'!$E:$E, 'Gastos e Ingresos 2028'!$D:$D, "Gasto", 'Gastos e Ingresos 2028'!$C:$C, R$2, 'Gastos e Ingresos 2028'!$A:$A, "&gt;="&amp;DATE(2028, 1, 1), 'Gastos e Ingresos 2028'!$A:$A, "&lt;"&amp;DATE(2028, 2, 1)), "")</f>
        <v/>
      </c>
    </row>
    <row r="4" ht="24" customHeight="1" s="18">
      <c r="A4" s="97" t="inlineStr">
        <is>
          <t>Febrero</t>
        </is>
      </c>
      <c r="B4" s="78">
        <f>IF(COUNTIFS('Gastos e Ingresos 2028'!$A:$A, "&gt;="&amp;DATE(2028, 2, 1), 'Gastos e Ingresos 2028'!$A:$A, "&lt;"&amp;DATE(2028, 3, 1))&gt;0, SUMIFS('Gastos e Ingresos 2028'!$E:$E, 'Gastos e Ingresos 2028'!$D:$D, "Ingreso", 'Gastos e Ingresos 2028'!$A:$A, "&gt;="&amp;DATE(2028, 2, 1), 'Gastos e Ingresos 2028'!$A:$A, "&lt;"&amp;DATE(2028, 3, 1)), "")</f>
        <v/>
      </c>
      <c r="C4" s="78">
        <f>IF(COUNTIFS('Gastos e Ingresos 2028'!$A:$A, "&gt;="&amp;DATE(2028, 2, 1), 'Gastos e Ingresos 2028'!$A:$A, "&lt;"&amp;DATE(2028, 3, 1))&gt;0, SUMIFS('Gastos e Ingresos 2028'!$E:$E, 'Gastos e Ingresos 2028'!$D:$D, "Gasto", 'Gastos e Ingresos 2028'!$A:$A, "&gt;="&amp;DATE(2028, 2, 1), 'Gastos e Ingresos 2028'!$A:$A, "&lt;"&amp;DATE(2028, 3, 1)), "")</f>
        <v/>
      </c>
      <c r="D4" s="83">
        <f>IF(B4="","",B4-C4)</f>
        <v/>
      </c>
      <c r="E4" s="98">
        <f>IF(B4="","",IF(B4&gt;0, D4/B4, 0))</f>
        <v/>
      </c>
      <c r="F4" s="75">
        <f>IF(COUNTIFS('Gastos e Ingresos 2028'!$A:$A, "&gt;="&amp;DATE(2028, 2, 1), 'Gastos e Ingresos 2028'!$A:$A, "&lt;"&amp;DATE(2028, 3, 1))&gt;0, SUMIFS('Gastos e Ingresos 2028'!$E:$E, 'Gastos e Ingresos 2028'!$D:$D, "Gasto", 'Gastos e Ingresos 2028'!$C:$C, F$2, 'Gastos e Ingresos 2028'!$A:$A, "&gt;="&amp;DATE(2028, 2, 1), 'Gastos e Ingresos 2028'!$A:$A, "&lt;"&amp;DATE(2028, 3, 1)), "")</f>
        <v/>
      </c>
      <c r="G4" s="75">
        <f>IF(COUNTIFS('Gastos e Ingresos 2028'!$A:$A, "&gt;="&amp;DATE(2028, 2, 1), 'Gastos e Ingresos 2028'!$A:$A, "&lt;"&amp;DATE(2028, 3, 1))&gt;0, SUMIFS('Gastos e Ingresos 2028'!$E:$E, 'Gastos e Ingresos 2028'!$D:$D, "Gasto", 'Gastos e Ingresos 2028'!$C:$C, G$2, 'Gastos e Ingresos 2028'!$A:$A, "&gt;="&amp;DATE(2028, 2, 1), 'Gastos e Ingresos 2028'!$A:$A, "&lt;"&amp;DATE(2028, 3, 1)), "")</f>
        <v/>
      </c>
      <c r="H4" s="75">
        <f>IF(COUNTIFS('Gastos e Ingresos 2028'!$A:$A, "&gt;="&amp;DATE(2028, 2, 1), 'Gastos e Ingresos 2028'!$A:$A, "&lt;"&amp;DATE(2028, 3, 1))&gt;0, SUMIFS('Gastos e Ingresos 2028'!$E:$E, 'Gastos e Ingresos 2028'!$D:$D, "Gasto", 'Gastos e Ingresos 2028'!$C:$C, H$2, 'Gastos e Ingresos 2028'!$A:$A, "&gt;="&amp;DATE(2028, 2, 1), 'Gastos e Ingresos 2028'!$A:$A, "&lt;"&amp;DATE(2028, 3, 1)), "")</f>
        <v/>
      </c>
      <c r="I4" s="75">
        <f>IF(COUNTIFS('Gastos e Ingresos 2028'!$A:$A, "&gt;="&amp;DATE(2028, 2, 1), 'Gastos e Ingresos 2028'!$A:$A, "&lt;"&amp;DATE(2028, 3, 1))&gt;0, SUMIFS('Gastos e Ingresos 2028'!$E:$E, 'Gastos e Ingresos 2028'!$D:$D, "Gasto", 'Gastos e Ingresos 2028'!$C:$C, I$2, 'Gastos e Ingresos 2028'!$A:$A, "&gt;="&amp;DATE(2028, 2, 1), 'Gastos e Ingresos 2028'!$A:$A, "&lt;"&amp;DATE(2028, 3, 1)), "")</f>
        <v/>
      </c>
      <c r="J4" s="75">
        <f>IF(COUNTIFS('Gastos e Ingresos 2028'!$A:$A, "&gt;="&amp;DATE(2028, 2, 1), 'Gastos e Ingresos 2028'!$A:$A, "&lt;"&amp;DATE(2028, 3, 1))&gt;0, SUMIFS('Gastos e Ingresos 2028'!$E:$E, 'Gastos e Ingresos 2028'!$D:$D, "Gasto", 'Gastos e Ingresos 2028'!$C:$C, J$2, 'Gastos e Ingresos 2028'!$A:$A, "&gt;="&amp;DATE(2028, 2, 1), 'Gastos e Ingresos 2028'!$A:$A, "&lt;"&amp;DATE(2028, 3, 1)), "")</f>
        <v/>
      </c>
      <c r="K4" s="75">
        <f>IF(COUNTIFS('Gastos e Ingresos 2028'!$A:$A, "&gt;="&amp;DATE(2028, 2, 1), 'Gastos e Ingresos 2028'!$A:$A, "&lt;"&amp;DATE(2028, 3, 1))&gt;0, SUMIFS('Gastos e Ingresos 2028'!$E:$E, 'Gastos e Ingresos 2028'!$D:$D, "Gasto", 'Gastos e Ingresos 2028'!$C:$C, K$2, 'Gastos e Ingresos 2028'!$A:$A, "&gt;="&amp;DATE(2028, 2, 1), 'Gastos e Ingresos 2028'!$A:$A, "&lt;"&amp;DATE(2028, 3, 1)), "")</f>
        <v/>
      </c>
      <c r="L4" s="75">
        <f>IF(COUNTIFS('Gastos e Ingresos 2028'!$A:$A, "&gt;="&amp;DATE(2028, 2, 1), 'Gastos e Ingresos 2028'!$A:$A, "&lt;"&amp;DATE(2028, 3, 1))&gt;0, SUMIFS('Gastos e Ingresos 2028'!$E:$E, 'Gastos e Ingresos 2028'!$D:$D, "Gasto", 'Gastos e Ingresos 2028'!$C:$C, L$2, 'Gastos e Ingresos 2028'!$A:$A, "&gt;="&amp;DATE(2028, 2, 1), 'Gastos e Ingresos 2028'!$A:$A, "&lt;"&amp;DATE(2028, 3, 1)), "")</f>
        <v/>
      </c>
      <c r="M4" s="75">
        <f>IF(COUNTIFS('Gastos e Ingresos 2028'!$A:$A, "&gt;="&amp;DATE(2028, 2, 1), 'Gastos e Ingresos 2028'!$A:$A, "&lt;"&amp;DATE(2028, 3, 1))&gt;0, SUMIFS('Gastos e Ingresos 2028'!$E:$E, 'Gastos e Ingresos 2028'!$D:$D, "Gasto", 'Gastos e Ingresos 2028'!$C:$C, M$2, 'Gastos e Ingresos 2028'!$A:$A, "&gt;="&amp;DATE(2028, 2, 1), 'Gastos e Ingresos 2028'!$A:$A, "&lt;"&amp;DATE(2028, 3, 1)), "")</f>
        <v/>
      </c>
      <c r="N4" s="75">
        <f>IF(COUNTIFS('Gastos e Ingresos 2028'!$A:$A, "&gt;="&amp;DATE(2028, 2, 1), 'Gastos e Ingresos 2028'!$A:$A, "&lt;"&amp;DATE(2028, 3, 1))&gt;0, SUMIFS('Gastos e Ingresos 2028'!$E:$E, 'Gastos e Ingresos 2028'!$D:$D, "Gasto", 'Gastos e Ingresos 2028'!$C:$C, N$2, 'Gastos e Ingresos 2028'!$A:$A, "&gt;="&amp;DATE(2028, 2, 1), 'Gastos e Ingresos 2028'!$A:$A, "&lt;"&amp;DATE(2028, 3, 1)), "")</f>
        <v/>
      </c>
      <c r="O4" s="75">
        <f>IF(COUNTIFS('Gastos e Ingresos 2028'!$A:$A, "&gt;="&amp;DATE(2028, 2, 1), 'Gastos e Ingresos 2028'!$A:$A, "&lt;"&amp;DATE(2028, 3, 1))&gt;0, SUMIFS('Gastos e Ingresos 2028'!$E:$E, 'Gastos e Ingresos 2028'!$D:$D, "Gasto", 'Gastos e Ingresos 2028'!$C:$C, O$2, 'Gastos e Ingresos 2028'!$A:$A, "&gt;="&amp;DATE(2028, 2, 1), 'Gastos e Ingresos 2028'!$A:$A, "&lt;"&amp;DATE(2028, 3, 1)), "")</f>
        <v/>
      </c>
      <c r="P4" s="75">
        <f>IF(COUNTIFS('Gastos e Ingresos 2028'!$A:$A, "&gt;="&amp;DATE(2028, 2, 1), 'Gastos e Ingresos 2028'!$A:$A, "&lt;"&amp;DATE(2028, 3, 1))&gt;0, SUMIFS('Gastos e Ingresos 2028'!$E:$E, 'Gastos e Ingresos 2028'!$D:$D, "Gasto", 'Gastos e Ingresos 2028'!$C:$C, P$2, 'Gastos e Ingresos 2028'!$A:$A, "&gt;="&amp;DATE(2028, 2, 1), 'Gastos e Ingresos 2028'!$A:$A, "&lt;"&amp;DATE(2028, 3, 1)), "")</f>
        <v/>
      </c>
      <c r="Q4" s="75">
        <f>IF(COUNTIFS('Gastos e Ingresos 2028'!$A:$A, "&gt;="&amp;DATE(2028, 2, 1), 'Gastos e Ingresos 2028'!$A:$A, "&lt;"&amp;DATE(2028, 3, 1))&gt;0, SUMIFS('Gastos e Ingresos 2028'!$E:$E, 'Gastos e Ingresos 2028'!$D:$D, "Gasto", 'Gastos e Ingresos 2028'!$C:$C, Q$2, 'Gastos e Ingresos 2028'!$A:$A, "&gt;="&amp;DATE(2028, 2, 1), 'Gastos e Ingresos 2028'!$A:$A, "&lt;"&amp;DATE(2028, 3, 1)), "")</f>
        <v/>
      </c>
      <c r="R4" s="75">
        <f>IF(COUNTIFS('Gastos e Ingresos 2028'!$A:$A, "&gt;="&amp;DATE(2028, 2, 1), 'Gastos e Ingresos 2028'!$A:$A, "&lt;"&amp;DATE(2028, 3, 1))&gt;0, SUMIFS('Gastos e Ingresos 2028'!$E:$E, 'Gastos e Ingresos 2028'!$D:$D, "Gasto", 'Gastos e Ingresos 2028'!$C:$C, R$2, 'Gastos e Ingresos 2028'!$A:$A, "&gt;="&amp;DATE(2028, 2, 1), 'Gastos e Ingresos 2028'!$A:$A, "&lt;"&amp;DATE(2028, 3, 1)), "")</f>
        <v/>
      </c>
    </row>
    <row r="5" ht="24" customHeight="1" s="18">
      <c r="A5" s="97" t="inlineStr">
        <is>
          <t>Marzo</t>
        </is>
      </c>
      <c r="B5" s="78">
        <f>IF(COUNTIFS('Gastos e Ingresos 2028'!$A:$A, "&gt;="&amp;DATE(2028, 3, 1), 'Gastos e Ingresos 2028'!$A:$A, "&lt;"&amp;DATE(2028, 4, 1))&gt;0, SUMIFS('Gastos e Ingresos 2028'!$E:$E, 'Gastos e Ingresos 2028'!$D:$D, "Ingreso", 'Gastos e Ingresos 2028'!$A:$A, "&gt;="&amp;DATE(2028, 3, 1), 'Gastos e Ingresos 2028'!$A:$A, "&lt;"&amp;DATE(2028, 4, 1)), "")</f>
        <v/>
      </c>
      <c r="C5" s="78">
        <f>IF(COUNTIFS('Gastos e Ingresos 2028'!$A:$A, "&gt;="&amp;DATE(2028, 3, 1), 'Gastos e Ingresos 2028'!$A:$A, "&lt;"&amp;DATE(2028, 4, 1))&gt;0, SUMIFS('Gastos e Ingresos 2028'!$E:$E, 'Gastos e Ingresos 2028'!$D:$D, "Gasto", 'Gastos e Ingresos 2028'!$A:$A, "&gt;="&amp;DATE(2028, 3, 1), 'Gastos e Ingresos 2028'!$A:$A, "&lt;"&amp;DATE(2028, 4, 1)), "")</f>
        <v/>
      </c>
      <c r="D5" s="83">
        <f>IF(B5="","",B5-C5)</f>
        <v/>
      </c>
      <c r="E5" s="98">
        <f>IF(B5="","",IF(B5&gt;0, D5/B5, 0))</f>
        <v/>
      </c>
      <c r="F5" s="78">
        <f>IF(COUNTIFS('Gastos e Ingresos 2028'!$A:$A, "&gt;="&amp;DATE(2028, 3, 1), 'Gastos e Ingresos 2028'!$A:$A, "&lt;"&amp;DATE(2028, 4, 1))&gt;0, SUMIFS('Gastos e Ingresos 2028'!$E:$E, 'Gastos e Ingresos 2028'!$D:$D, "Gasto", 'Gastos e Ingresos 2028'!$C:$C, F$2, 'Gastos e Ingresos 2028'!$A:$A, "&gt;="&amp;DATE(2028, 3, 1), 'Gastos e Ingresos 2028'!$A:$A, "&lt;"&amp;DATE(2028, 4, 1)), "")</f>
        <v/>
      </c>
      <c r="G5" s="78">
        <f>IF(COUNTIFS('Gastos e Ingresos 2028'!$A:$A, "&gt;="&amp;DATE(2028, 3, 1), 'Gastos e Ingresos 2028'!$A:$A, "&lt;"&amp;DATE(2028, 4, 1))&gt;0, SUMIFS('Gastos e Ingresos 2028'!$E:$E, 'Gastos e Ingresos 2028'!$D:$D, "Gasto", 'Gastos e Ingresos 2028'!$C:$C, G$2, 'Gastos e Ingresos 2028'!$A:$A, "&gt;="&amp;DATE(2028, 3, 1), 'Gastos e Ingresos 2028'!$A:$A, "&lt;"&amp;DATE(2028, 4, 1)), "")</f>
        <v/>
      </c>
      <c r="H5" s="78">
        <f>IF(COUNTIFS('Gastos e Ingresos 2028'!$A:$A, "&gt;="&amp;DATE(2028, 3, 1), 'Gastos e Ingresos 2028'!$A:$A, "&lt;"&amp;DATE(2028, 4, 1))&gt;0, SUMIFS('Gastos e Ingresos 2028'!$E:$E, 'Gastos e Ingresos 2028'!$D:$D, "Gasto", 'Gastos e Ingresos 2028'!$C:$C, H$2, 'Gastos e Ingresos 2028'!$A:$A, "&gt;="&amp;DATE(2028, 3, 1), 'Gastos e Ingresos 2028'!$A:$A, "&lt;"&amp;DATE(2028, 4, 1)), "")</f>
        <v/>
      </c>
      <c r="I5" s="78">
        <f>IF(COUNTIFS('Gastos e Ingresos 2028'!$A:$A, "&gt;="&amp;DATE(2028, 3, 1), 'Gastos e Ingresos 2028'!$A:$A, "&lt;"&amp;DATE(2028, 4, 1))&gt;0, SUMIFS('Gastos e Ingresos 2028'!$E:$E, 'Gastos e Ingresos 2028'!$D:$D, "Gasto", 'Gastos e Ingresos 2028'!$C:$C, I$2, 'Gastos e Ingresos 2028'!$A:$A, "&gt;="&amp;DATE(2028, 3, 1), 'Gastos e Ingresos 2028'!$A:$A, "&lt;"&amp;DATE(2028, 4, 1)), "")</f>
        <v/>
      </c>
      <c r="J5" s="78">
        <f>IF(COUNTIFS('Gastos e Ingresos 2028'!$A:$A, "&gt;="&amp;DATE(2028, 3, 1), 'Gastos e Ingresos 2028'!$A:$A, "&lt;"&amp;DATE(2028, 4, 1))&gt;0, SUMIFS('Gastos e Ingresos 2028'!$E:$E, 'Gastos e Ingresos 2028'!$D:$D, "Gasto", 'Gastos e Ingresos 2028'!$C:$C, J$2, 'Gastos e Ingresos 2028'!$A:$A, "&gt;="&amp;DATE(2028, 3, 1), 'Gastos e Ingresos 2028'!$A:$A, "&lt;"&amp;DATE(2028, 4, 1)), "")</f>
        <v/>
      </c>
      <c r="K5" s="78">
        <f>IF(COUNTIFS('Gastos e Ingresos 2028'!$A:$A, "&gt;="&amp;DATE(2028, 3, 1), 'Gastos e Ingresos 2028'!$A:$A, "&lt;"&amp;DATE(2028, 4, 1))&gt;0, SUMIFS('Gastos e Ingresos 2028'!$E:$E, 'Gastos e Ingresos 2028'!$D:$D, "Gasto", 'Gastos e Ingresos 2028'!$C:$C, K$2, 'Gastos e Ingresos 2028'!$A:$A, "&gt;="&amp;DATE(2028, 3, 1), 'Gastos e Ingresos 2028'!$A:$A, "&lt;"&amp;DATE(2028, 4, 1)), "")</f>
        <v/>
      </c>
      <c r="L5" s="78">
        <f>IF(COUNTIFS('Gastos e Ingresos 2028'!$A:$A, "&gt;="&amp;DATE(2028, 3, 1), 'Gastos e Ingresos 2028'!$A:$A, "&lt;"&amp;DATE(2028, 4, 1))&gt;0, SUMIFS('Gastos e Ingresos 2028'!$E:$E, 'Gastos e Ingresos 2028'!$D:$D, "Gasto", 'Gastos e Ingresos 2028'!$C:$C, L$2, 'Gastos e Ingresos 2028'!$A:$A, "&gt;="&amp;DATE(2028, 3, 1), 'Gastos e Ingresos 2028'!$A:$A, "&lt;"&amp;DATE(2028, 4, 1)), "")</f>
        <v/>
      </c>
      <c r="M5" s="78">
        <f>IF(COUNTIFS('Gastos e Ingresos 2028'!$A:$A, "&gt;="&amp;DATE(2028, 3, 1), 'Gastos e Ingresos 2028'!$A:$A, "&lt;"&amp;DATE(2028, 4, 1))&gt;0, SUMIFS('Gastos e Ingresos 2028'!$E:$E, 'Gastos e Ingresos 2028'!$D:$D, "Gasto", 'Gastos e Ingresos 2028'!$C:$C, M$2, 'Gastos e Ingresos 2028'!$A:$A, "&gt;="&amp;DATE(2028, 3, 1), 'Gastos e Ingresos 2028'!$A:$A, "&lt;"&amp;DATE(2028, 4, 1)), "")</f>
        <v/>
      </c>
      <c r="N5" s="78">
        <f>IF(COUNTIFS('Gastos e Ingresos 2028'!$A:$A, "&gt;="&amp;DATE(2028, 3, 1), 'Gastos e Ingresos 2028'!$A:$A, "&lt;"&amp;DATE(2028, 4, 1))&gt;0, SUMIFS('Gastos e Ingresos 2028'!$E:$E, 'Gastos e Ingresos 2028'!$D:$D, "Gasto", 'Gastos e Ingresos 2028'!$C:$C, N$2, 'Gastos e Ingresos 2028'!$A:$A, "&gt;="&amp;DATE(2028, 3, 1), 'Gastos e Ingresos 2028'!$A:$A, "&lt;"&amp;DATE(2028, 4, 1)), "")</f>
        <v/>
      </c>
      <c r="O5" s="78">
        <f>IF(COUNTIFS('Gastos e Ingresos 2028'!$A:$A, "&gt;="&amp;DATE(2028, 3, 1), 'Gastos e Ingresos 2028'!$A:$A, "&lt;"&amp;DATE(2028, 4, 1))&gt;0, SUMIFS('Gastos e Ingresos 2028'!$E:$E, 'Gastos e Ingresos 2028'!$D:$D, "Gasto", 'Gastos e Ingresos 2028'!$C:$C, O$2, 'Gastos e Ingresos 2028'!$A:$A, "&gt;="&amp;DATE(2028, 3, 1), 'Gastos e Ingresos 2028'!$A:$A, "&lt;"&amp;DATE(2028, 4, 1)), "")</f>
        <v/>
      </c>
      <c r="P5" s="78">
        <f>IF(COUNTIFS('Gastos e Ingresos 2028'!$A:$A, "&gt;="&amp;DATE(2028, 3, 1), 'Gastos e Ingresos 2028'!$A:$A, "&lt;"&amp;DATE(2028, 4, 1))&gt;0, SUMIFS('Gastos e Ingresos 2028'!$E:$E, 'Gastos e Ingresos 2028'!$D:$D, "Gasto", 'Gastos e Ingresos 2028'!$C:$C, P$2, 'Gastos e Ingresos 2028'!$A:$A, "&gt;="&amp;DATE(2028, 3, 1), 'Gastos e Ingresos 2028'!$A:$A, "&lt;"&amp;DATE(2028, 4, 1)), "")</f>
        <v/>
      </c>
      <c r="Q5" s="78">
        <f>IF(COUNTIFS('Gastos e Ingresos 2028'!$A:$A, "&gt;="&amp;DATE(2028, 3, 1), 'Gastos e Ingresos 2028'!$A:$A, "&lt;"&amp;DATE(2028, 4, 1))&gt;0, SUMIFS('Gastos e Ingresos 2028'!$E:$E, 'Gastos e Ingresos 2028'!$D:$D, "Gasto", 'Gastos e Ingresos 2028'!$C:$C, Q$2, 'Gastos e Ingresos 2028'!$A:$A, "&gt;="&amp;DATE(2028, 3, 1), 'Gastos e Ingresos 2028'!$A:$A, "&lt;"&amp;DATE(2028, 4, 1)), "")</f>
        <v/>
      </c>
      <c r="R5" s="78">
        <f>IF(COUNTIFS('Gastos e Ingresos 2028'!$A:$A, "&gt;="&amp;DATE(2028, 3, 1), 'Gastos e Ingresos 2028'!$A:$A, "&lt;"&amp;DATE(2028, 4, 1))&gt;0, SUMIFS('Gastos e Ingresos 2028'!$E:$E, 'Gastos e Ingresos 2028'!$D:$D, "Gasto", 'Gastos e Ingresos 2028'!$C:$C, R$2, 'Gastos e Ingresos 2028'!$A:$A, "&gt;="&amp;DATE(2028, 3, 1), 'Gastos e Ingresos 2028'!$A:$A, "&lt;"&amp;DATE(2028, 4, 1)), "")</f>
        <v/>
      </c>
    </row>
    <row r="6" ht="24" customHeight="1" s="18">
      <c r="A6" s="97" t="inlineStr">
        <is>
          <t>Abril</t>
        </is>
      </c>
      <c r="B6" s="78">
        <f>IF(COUNTIFS('Gastos e Ingresos 2028'!$A:$A, "&gt;="&amp;DATE(2028, 4, 1), 'Gastos e Ingresos 2028'!$A:$A, "&lt;"&amp;DATE(2028, 5, 1))&gt;0, SUMIFS('Gastos e Ingresos 2028'!$E:$E, 'Gastos e Ingresos 2028'!$D:$D, "Ingreso", 'Gastos e Ingresos 2028'!$A:$A, "&gt;="&amp;DATE(2028, 4, 1), 'Gastos e Ingresos 2028'!$A:$A, "&lt;"&amp;DATE(2028, 5, 1)), "")</f>
        <v/>
      </c>
      <c r="C6" s="78">
        <f>IF(COUNTIFS('Gastos e Ingresos 2028'!$A:$A, "&gt;="&amp;DATE(2028, 4, 1), 'Gastos e Ingresos 2028'!$A:$A, "&lt;"&amp;DATE(2028, 5, 1))&gt;0, SUMIFS('Gastos e Ingresos 2028'!$E:$E, 'Gastos e Ingresos 2028'!$D:$D, "Gasto", 'Gastos e Ingresos 2028'!$A:$A, "&gt;="&amp;DATE(2028, 4, 1), 'Gastos e Ingresos 2028'!$A:$A, "&lt;"&amp;DATE(2028, 5, 1)), "")</f>
        <v/>
      </c>
      <c r="D6" s="83">
        <f>IF(B6="","",B6-C6)</f>
        <v/>
      </c>
      <c r="E6" s="98">
        <f>IF(B6="","",IF(B6&gt;0, D6/B6, 0))</f>
        <v/>
      </c>
      <c r="F6" s="75">
        <f>IF(COUNTIFS('Gastos e Ingresos 2028'!$A:$A, "&gt;="&amp;DATE(2028, 4, 1), 'Gastos e Ingresos 2028'!$A:$A, "&lt;"&amp;DATE(2028, 5, 1))&gt;0, SUMIFS('Gastos e Ingresos 2028'!$E:$E, 'Gastos e Ingresos 2028'!$D:$D, "Gasto", 'Gastos e Ingresos 2028'!$C:$C, F$2, 'Gastos e Ingresos 2028'!$A:$A, "&gt;="&amp;DATE(2028, 4, 1), 'Gastos e Ingresos 2028'!$A:$A, "&lt;"&amp;DATE(2028, 5, 1)), "")</f>
        <v/>
      </c>
      <c r="G6" s="75">
        <f>IF(COUNTIFS('Gastos e Ingresos 2028'!$A:$A, "&gt;="&amp;DATE(2028, 4, 1), 'Gastos e Ingresos 2028'!$A:$A, "&lt;"&amp;DATE(2028, 5, 1))&gt;0, SUMIFS('Gastos e Ingresos 2028'!$E:$E, 'Gastos e Ingresos 2028'!$D:$D, "Gasto", 'Gastos e Ingresos 2028'!$C:$C, G$2, 'Gastos e Ingresos 2028'!$A:$A, "&gt;="&amp;DATE(2028, 4, 1), 'Gastos e Ingresos 2028'!$A:$A, "&lt;"&amp;DATE(2028, 5, 1)), "")</f>
        <v/>
      </c>
      <c r="H6" s="75">
        <f>IF(COUNTIFS('Gastos e Ingresos 2028'!$A:$A, "&gt;="&amp;DATE(2028, 4, 1), 'Gastos e Ingresos 2028'!$A:$A, "&lt;"&amp;DATE(2028, 5, 1))&gt;0, SUMIFS('Gastos e Ingresos 2028'!$E:$E, 'Gastos e Ingresos 2028'!$D:$D, "Gasto", 'Gastos e Ingresos 2028'!$C:$C, H$2, 'Gastos e Ingresos 2028'!$A:$A, "&gt;="&amp;DATE(2028, 4, 1), 'Gastos e Ingresos 2028'!$A:$A, "&lt;"&amp;DATE(2028, 5, 1)), "")</f>
        <v/>
      </c>
      <c r="I6" s="75">
        <f>IF(COUNTIFS('Gastos e Ingresos 2028'!$A:$A, "&gt;="&amp;DATE(2028, 4, 1), 'Gastos e Ingresos 2028'!$A:$A, "&lt;"&amp;DATE(2028, 5, 1))&gt;0, SUMIFS('Gastos e Ingresos 2028'!$E:$E, 'Gastos e Ingresos 2028'!$D:$D, "Gasto", 'Gastos e Ingresos 2028'!$C:$C, I$2, 'Gastos e Ingresos 2028'!$A:$A, "&gt;="&amp;DATE(2028, 4, 1), 'Gastos e Ingresos 2028'!$A:$A, "&lt;"&amp;DATE(2028, 5, 1)), "")</f>
        <v/>
      </c>
      <c r="J6" s="75">
        <f>IF(COUNTIFS('Gastos e Ingresos 2028'!$A:$A, "&gt;="&amp;DATE(2028, 4, 1), 'Gastos e Ingresos 2028'!$A:$A, "&lt;"&amp;DATE(2028, 5, 1))&gt;0, SUMIFS('Gastos e Ingresos 2028'!$E:$E, 'Gastos e Ingresos 2028'!$D:$D, "Gasto", 'Gastos e Ingresos 2028'!$C:$C, J$2, 'Gastos e Ingresos 2028'!$A:$A, "&gt;="&amp;DATE(2028, 4, 1), 'Gastos e Ingresos 2028'!$A:$A, "&lt;"&amp;DATE(2028, 5, 1)), "")</f>
        <v/>
      </c>
      <c r="K6" s="75">
        <f>IF(COUNTIFS('Gastos e Ingresos 2028'!$A:$A, "&gt;="&amp;DATE(2028, 4, 1), 'Gastos e Ingresos 2028'!$A:$A, "&lt;"&amp;DATE(2028, 5, 1))&gt;0, SUMIFS('Gastos e Ingresos 2028'!$E:$E, 'Gastos e Ingresos 2028'!$D:$D, "Gasto", 'Gastos e Ingresos 2028'!$C:$C, K$2, 'Gastos e Ingresos 2028'!$A:$A, "&gt;="&amp;DATE(2028, 4, 1), 'Gastos e Ingresos 2028'!$A:$A, "&lt;"&amp;DATE(2028, 5, 1)), "")</f>
        <v/>
      </c>
      <c r="L6" s="75">
        <f>IF(COUNTIFS('Gastos e Ingresos 2028'!$A:$A, "&gt;="&amp;DATE(2028, 4, 1), 'Gastos e Ingresos 2028'!$A:$A, "&lt;"&amp;DATE(2028, 5, 1))&gt;0, SUMIFS('Gastos e Ingresos 2028'!$E:$E, 'Gastos e Ingresos 2028'!$D:$D, "Gasto", 'Gastos e Ingresos 2028'!$C:$C, L$2, 'Gastos e Ingresos 2028'!$A:$A, "&gt;="&amp;DATE(2028, 4, 1), 'Gastos e Ingresos 2028'!$A:$A, "&lt;"&amp;DATE(2028, 5, 1)), "")</f>
        <v/>
      </c>
      <c r="M6" s="75">
        <f>IF(COUNTIFS('Gastos e Ingresos 2028'!$A:$A, "&gt;="&amp;DATE(2028, 4, 1), 'Gastos e Ingresos 2028'!$A:$A, "&lt;"&amp;DATE(2028, 5, 1))&gt;0, SUMIFS('Gastos e Ingresos 2028'!$E:$E, 'Gastos e Ingresos 2028'!$D:$D, "Gasto", 'Gastos e Ingresos 2028'!$C:$C, M$2, 'Gastos e Ingresos 2028'!$A:$A, "&gt;="&amp;DATE(2028, 4, 1), 'Gastos e Ingresos 2028'!$A:$A, "&lt;"&amp;DATE(2028, 5, 1)), "")</f>
        <v/>
      </c>
      <c r="N6" s="75">
        <f>IF(COUNTIFS('Gastos e Ingresos 2028'!$A:$A, "&gt;="&amp;DATE(2028, 4, 1), 'Gastos e Ingresos 2028'!$A:$A, "&lt;"&amp;DATE(2028, 5, 1))&gt;0, SUMIFS('Gastos e Ingresos 2028'!$E:$E, 'Gastos e Ingresos 2028'!$D:$D, "Gasto", 'Gastos e Ingresos 2028'!$C:$C, N$2, 'Gastos e Ingresos 2028'!$A:$A, "&gt;="&amp;DATE(2028, 4, 1), 'Gastos e Ingresos 2028'!$A:$A, "&lt;"&amp;DATE(2028, 5, 1)), "")</f>
        <v/>
      </c>
      <c r="O6" s="75">
        <f>IF(COUNTIFS('Gastos e Ingresos 2028'!$A:$A, "&gt;="&amp;DATE(2028, 4, 1), 'Gastos e Ingresos 2028'!$A:$A, "&lt;"&amp;DATE(2028, 5, 1))&gt;0, SUMIFS('Gastos e Ingresos 2028'!$E:$E, 'Gastos e Ingresos 2028'!$D:$D, "Gasto", 'Gastos e Ingresos 2028'!$C:$C, O$2, 'Gastos e Ingresos 2028'!$A:$A, "&gt;="&amp;DATE(2028, 4, 1), 'Gastos e Ingresos 2028'!$A:$A, "&lt;"&amp;DATE(2028, 5, 1)), "")</f>
        <v/>
      </c>
      <c r="P6" s="75">
        <f>IF(COUNTIFS('Gastos e Ingresos 2028'!$A:$A, "&gt;="&amp;DATE(2028, 4, 1), 'Gastos e Ingresos 2028'!$A:$A, "&lt;"&amp;DATE(2028, 5, 1))&gt;0, SUMIFS('Gastos e Ingresos 2028'!$E:$E, 'Gastos e Ingresos 2028'!$D:$D, "Gasto", 'Gastos e Ingresos 2028'!$C:$C, P$2, 'Gastos e Ingresos 2028'!$A:$A, "&gt;="&amp;DATE(2028, 4, 1), 'Gastos e Ingresos 2028'!$A:$A, "&lt;"&amp;DATE(2028, 5, 1)), "")</f>
        <v/>
      </c>
      <c r="Q6" s="75">
        <f>IF(COUNTIFS('Gastos e Ingresos 2028'!$A:$A, "&gt;="&amp;DATE(2028, 4, 1), 'Gastos e Ingresos 2028'!$A:$A, "&lt;"&amp;DATE(2028, 5, 1))&gt;0, SUMIFS('Gastos e Ingresos 2028'!$E:$E, 'Gastos e Ingresos 2028'!$D:$D, "Gasto", 'Gastos e Ingresos 2028'!$C:$C, Q$2, 'Gastos e Ingresos 2028'!$A:$A, "&gt;="&amp;DATE(2028, 4, 1), 'Gastos e Ingresos 2028'!$A:$A, "&lt;"&amp;DATE(2028, 5, 1)), "")</f>
        <v/>
      </c>
      <c r="R6" s="75">
        <f>IF(COUNTIFS('Gastos e Ingresos 2028'!$A:$A, "&gt;="&amp;DATE(2028, 4, 1), 'Gastos e Ingresos 2028'!$A:$A, "&lt;"&amp;DATE(2028, 5, 1))&gt;0, SUMIFS('Gastos e Ingresos 2028'!$E:$E, 'Gastos e Ingresos 2028'!$D:$D, "Gasto", 'Gastos e Ingresos 2028'!$C:$C, R$2, 'Gastos e Ingresos 2028'!$A:$A, "&gt;="&amp;DATE(2028, 4, 1), 'Gastos e Ingresos 2028'!$A:$A, "&lt;"&amp;DATE(2028, 5, 1)), "")</f>
        <v/>
      </c>
    </row>
    <row r="7" ht="24" customHeight="1" s="18">
      <c r="A7" s="97" t="inlineStr">
        <is>
          <t>Mayo</t>
        </is>
      </c>
      <c r="B7" s="78">
        <f>IF(COUNTIFS('Gastos e Ingresos 2028'!$A:$A, "&gt;="&amp;DATE(2028, 5, 1), 'Gastos e Ingresos 2028'!$A:$A, "&lt;"&amp;DATE(2028, 6, 1))&gt;0, SUMIFS('Gastos e Ingresos 2028'!$E:$E, 'Gastos e Ingresos 2028'!$D:$D, "Ingreso", 'Gastos e Ingresos 2028'!$A:$A, "&gt;="&amp;DATE(2028, 5, 1), 'Gastos e Ingresos 2028'!$A:$A, "&lt;"&amp;DATE(2028, 6, 1)), "")</f>
        <v/>
      </c>
      <c r="C7" s="78">
        <f>IF(COUNTIFS('Gastos e Ingresos 2028'!$A:$A, "&gt;="&amp;DATE(2028, 5, 1), 'Gastos e Ingresos 2028'!$A:$A, "&lt;"&amp;DATE(2028, 6, 1))&gt;0, SUMIFS('Gastos e Ingresos 2028'!$E:$E, 'Gastos e Ingresos 2028'!$D:$D, "Gasto", 'Gastos e Ingresos 2028'!$A:$A, "&gt;="&amp;DATE(2028, 5, 1), 'Gastos e Ingresos 2028'!$A:$A, "&lt;"&amp;DATE(2028, 6, 1)), "")</f>
        <v/>
      </c>
      <c r="D7" s="83">
        <f>IF(B7="","",B7-C7)</f>
        <v/>
      </c>
      <c r="E7" s="98">
        <f>IF(B7="","",IF(B7&gt;0, D7/B7, 0))</f>
        <v/>
      </c>
      <c r="F7" s="78">
        <f>IF(COUNTIFS('Gastos e Ingresos 2028'!$A:$A, "&gt;="&amp;DATE(2028, 5, 1), 'Gastos e Ingresos 2028'!$A:$A, "&lt;"&amp;DATE(2028, 6, 1))&gt;0, SUMIFS('Gastos e Ingresos 2028'!$E:$E, 'Gastos e Ingresos 2028'!$D:$D, "Gasto", 'Gastos e Ingresos 2028'!$C:$C, F$2, 'Gastos e Ingresos 2028'!$A:$A, "&gt;="&amp;DATE(2028, 5, 1), 'Gastos e Ingresos 2028'!$A:$A, "&lt;"&amp;DATE(2028, 6, 1)), "")</f>
        <v/>
      </c>
      <c r="G7" s="78">
        <f>IF(COUNTIFS('Gastos e Ingresos 2028'!$A:$A, "&gt;="&amp;DATE(2028, 5, 1), 'Gastos e Ingresos 2028'!$A:$A, "&lt;"&amp;DATE(2028, 6, 1))&gt;0, SUMIFS('Gastos e Ingresos 2028'!$E:$E, 'Gastos e Ingresos 2028'!$D:$D, "Gasto", 'Gastos e Ingresos 2028'!$C:$C, G$2, 'Gastos e Ingresos 2028'!$A:$A, "&gt;="&amp;DATE(2028, 5, 1), 'Gastos e Ingresos 2028'!$A:$A, "&lt;"&amp;DATE(2028, 6, 1)), "")</f>
        <v/>
      </c>
      <c r="H7" s="78">
        <f>IF(COUNTIFS('Gastos e Ingresos 2028'!$A:$A, "&gt;="&amp;DATE(2028, 5, 1), 'Gastos e Ingresos 2028'!$A:$A, "&lt;"&amp;DATE(2028, 6, 1))&gt;0, SUMIFS('Gastos e Ingresos 2028'!$E:$E, 'Gastos e Ingresos 2028'!$D:$D, "Gasto", 'Gastos e Ingresos 2028'!$C:$C, H$2, 'Gastos e Ingresos 2028'!$A:$A, "&gt;="&amp;DATE(2028, 5, 1), 'Gastos e Ingresos 2028'!$A:$A, "&lt;"&amp;DATE(2028, 6, 1)), "")</f>
        <v/>
      </c>
      <c r="I7" s="78">
        <f>IF(COUNTIFS('Gastos e Ingresos 2028'!$A:$A, "&gt;="&amp;DATE(2028, 5, 1), 'Gastos e Ingresos 2028'!$A:$A, "&lt;"&amp;DATE(2028, 6, 1))&gt;0, SUMIFS('Gastos e Ingresos 2028'!$E:$E, 'Gastos e Ingresos 2028'!$D:$D, "Gasto", 'Gastos e Ingresos 2028'!$C:$C, I$2, 'Gastos e Ingresos 2028'!$A:$A, "&gt;="&amp;DATE(2028, 5, 1), 'Gastos e Ingresos 2028'!$A:$A, "&lt;"&amp;DATE(2028, 6, 1)), "")</f>
        <v/>
      </c>
      <c r="J7" s="78">
        <f>IF(COUNTIFS('Gastos e Ingresos 2028'!$A:$A, "&gt;="&amp;DATE(2028, 5, 1), 'Gastos e Ingresos 2028'!$A:$A, "&lt;"&amp;DATE(2028, 6, 1))&gt;0, SUMIFS('Gastos e Ingresos 2028'!$E:$E, 'Gastos e Ingresos 2028'!$D:$D, "Gasto", 'Gastos e Ingresos 2028'!$C:$C, J$2, 'Gastos e Ingresos 2028'!$A:$A, "&gt;="&amp;DATE(2028, 5, 1), 'Gastos e Ingresos 2028'!$A:$A, "&lt;"&amp;DATE(2028, 6, 1)), "")</f>
        <v/>
      </c>
      <c r="K7" s="78">
        <f>IF(COUNTIFS('Gastos e Ingresos 2028'!$A:$A, "&gt;="&amp;DATE(2028, 5, 1), 'Gastos e Ingresos 2028'!$A:$A, "&lt;"&amp;DATE(2028, 6, 1))&gt;0, SUMIFS('Gastos e Ingresos 2028'!$E:$E, 'Gastos e Ingresos 2028'!$D:$D, "Gasto", 'Gastos e Ingresos 2028'!$C:$C, K$2, 'Gastos e Ingresos 2028'!$A:$A, "&gt;="&amp;DATE(2028, 5, 1), 'Gastos e Ingresos 2028'!$A:$A, "&lt;"&amp;DATE(2028, 6, 1)), "")</f>
        <v/>
      </c>
      <c r="L7" s="78">
        <f>IF(COUNTIFS('Gastos e Ingresos 2028'!$A:$A, "&gt;="&amp;DATE(2028, 5, 1), 'Gastos e Ingresos 2028'!$A:$A, "&lt;"&amp;DATE(2028, 6, 1))&gt;0, SUMIFS('Gastos e Ingresos 2028'!$E:$E, 'Gastos e Ingresos 2028'!$D:$D, "Gasto", 'Gastos e Ingresos 2028'!$C:$C, L$2, 'Gastos e Ingresos 2028'!$A:$A, "&gt;="&amp;DATE(2028, 5, 1), 'Gastos e Ingresos 2028'!$A:$A, "&lt;"&amp;DATE(2028, 6, 1)), "")</f>
        <v/>
      </c>
      <c r="M7" s="78">
        <f>IF(COUNTIFS('Gastos e Ingresos 2028'!$A:$A, "&gt;="&amp;DATE(2028, 5, 1), 'Gastos e Ingresos 2028'!$A:$A, "&lt;"&amp;DATE(2028, 6, 1))&gt;0, SUMIFS('Gastos e Ingresos 2028'!$E:$E, 'Gastos e Ingresos 2028'!$D:$D, "Gasto", 'Gastos e Ingresos 2028'!$C:$C, M$2, 'Gastos e Ingresos 2028'!$A:$A, "&gt;="&amp;DATE(2028, 5, 1), 'Gastos e Ingresos 2028'!$A:$A, "&lt;"&amp;DATE(2028, 6, 1)), "")</f>
        <v/>
      </c>
      <c r="N7" s="78">
        <f>IF(COUNTIFS('Gastos e Ingresos 2028'!$A:$A, "&gt;="&amp;DATE(2028, 5, 1), 'Gastos e Ingresos 2028'!$A:$A, "&lt;"&amp;DATE(2028, 6, 1))&gt;0, SUMIFS('Gastos e Ingresos 2028'!$E:$E, 'Gastos e Ingresos 2028'!$D:$D, "Gasto", 'Gastos e Ingresos 2028'!$C:$C, N$2, 'Gastos e Ingresos 2028'!$A:$A, "&gt;="&amp;DATE(2028, 5, 1), 'Gastos e Ingresos 2028'!$A:$A, "&lt;"&amp;DATE(2028, 6, 1)), "")</f>
        <v/>
      </c>
      <c r="O7" s="78">
        <f>IF(COUNTIFS('Gastos e Ingresos 2028'!$A:$A, "&gt;="&amp;DATE(2028, 5, 1), 'Gastos e Ingresos 2028'!$A:$A, "&lt;"&amp;DATE(2028, 6, 1))&gt;0, SUMIFS('Gastos e Ingresos 2028'!$E:$E, 'Gastos e Ingresos 2028'!$D:$D, "Gasto", 'Gastos e Ingresos 2028'!$C:$C, O$2, 'Gastos e Ingresos 2028'!$A:$A, "&gt;="&amp;DATE(2028, 5, 1), 'Gastos e Ingresos 2028'!$A:$A, "&lt;"&amp;DATE(2028, 6, 1)), "")</f>
        <v/>
      </c>
      <c r="P7" s="78">
        <f>IF(COUNTIFS('Gastos e Ingresos 2028'!$A:$A, "&gt;="&amp;DATE(2028, 5, 1), 'Gastos e Ingresos 2028'!$A:$A, "&lt;"&amp;DATE(2028, 6, 1))&gt;0, SUMIFS('Gastos e Ingresos 2028'!$E:$E, 'Gastos e Ingresos 2028'!$D:$D, "Gasto", 'Gastos e Ingresos 2028'!$C:$C, P$2, 'Gastos e Ingresos 2028'!$A:$A, "&gt;="&amp;DATE(2028, 5, 1), 'Gastos e Ingresos 2028'!$A:$A, "&lt;"&amp;DATE(2028, 6, 1)), "")</f>
        <v/>
      </c>
      <c r="Q7" s="78">
        <f>IF(COUNTIFS('Gastos e Ingresos 2028'!$A:$A, "&gt;="&amp;DATE(2028, 5, 1), 'Gastos e Ingresos 2028'!$A:$A, "&lt;"&amp;DATE(2028, 6, 1))&gt;0, SUMIFS('Gastos e Ingresos 2028'!$E:$E, 'Gastos e Ingresos 2028'!$D:$D, "Gasto", 'Gastos e Ingresos 2028'!$C:$C, Q$2, 'Gastos e Ingresos 2028'!$A:$A, "&gt;="&amp;DATE(2028, 5, 1), 'Gastos e Ingresos 2028'!$A:$A, "&lt;"&amp;DATE(2028, 6, 1)), "")</f>
        <v/>
      </c>
      <c r="R7" s="78">
        <f>IF(COUNTIFS('Gastos e Ingresos 2028'!$A:$A, "&gt;="&amp;DATE(2028, 5, 1), 'Gastos e Ingresos 2028'!$A:$A, "&lt;"&amp;DATE(2028, 6, 1))&gt;0, SUMIFS('Gastos e Ingresos 2028'!$E:$E, 'Gastos e Ingresos 2028'!$D:$D, "Gasto", 'Gastos e Ingresos 2028'!$C:$C, R$2, 'Gastos e Ingresos 2028'!$A:$A, "&gt;="&amp;DATE(2028, 5, 1), 'Gastos e Ingresos 2028'!$A:$A, "&lt;"&amp;DATE(2028, 6, 1)), "")</f>
        <v/>
      </c>
    </row>
    <row r="8" ht="24" customHeight="1" s="18">
      <c r="A8" s="97" t="inlineStr">
        <is>
          <t>Junio</t>
        </is>
      </c>
      <c r="B8" s="78">
        <f>IF(COUNTIFS('Gastos e Ingresos 2028'!$A:$A, "&gt;="&amp;DATE(2028, 6, 1), 'Gastos e Ingresos 2028'!$A:$A, "&lt;"&amp;DATE(2028, 7, 1))&gt;0, SUMIFS('Gastos e Ingresos 2028'!$E:$E, 'Gastos e Ingresos 2028'!$D:$D, "Ingreso", 'Gastos e Ingresos 2028'!$A:$A, "&gt;="&amp;DATE(2028, 6, 1), 'Gastos e Ingresos 2028'!$A:$A, "&lt;"&amp;DATE(2028, 7, 1)), "")</f>
        <v/>
      </c>
      <c r="C8" s="78">
        <f>IF(COUNTIFS('Gastos e Ingresos 2028'!$A:$A, "&gt;="&amp;DATE(2028, 6, 1), 'Gastos e Ingresos 2028'!$A:$A, "&lt;"&amp;DATE(2028, 7, 1))&gt;0, SUMIFS('Gastos e Ingresos 2028'!$E:$E, 'Gastos e Ingresos 2028'!$D:$D, "Gasto", 'Gastos e Ingresos 2028'!$A:$A, "&gt;="&amp;DATE(2028, 6, 1), 'Gastos e Ingresos 2028'!$A:$A, "&lt;"&amp;DATE(2028, 7, 1)), "")</f>
        <v/>
      </c>
      <c r="D8" s="83">
        <f>IF(B8="","",B8-C8)</f>
        <v/>
      </c>
      <c r="E8" s="98">
        <f>IF(B8="","",IF(B8&gt;0, D8/B8, 0))</f>
        <v/>
      </c>
      <c r="F8" s="75">
        <f>IF(COUNTIFS('Gastos e Ingresos 2028'!$A:$A, "&gt;="&amp;DATE(2028, 6, 1), 'Gastos e Ingresos 2028'!$A:$A, "&lt;"&amp;DATE(2028, 7, 1))&gt;0, SUMIFS('Gastos e Ingresos 2028'!$E:$E, 'Gastos e Ingresos 2028'!$D:$D, "Gasto", 'Gastos e Ingresos 2028'!$C:$C, F$2, 'Gastos e Ingresos 2028'!$A:$A, "&gt;="&amp;DATE(2028, 6, 1), 'Gastos e Ingresos 2028'!$A:$A, "&lt;"&amp;DATE(2028, 7, 1)), "")</f>
        <v/>
      </c>
      <c r="G8" s="75">
        <f>IF(COUNTIFS('Gastos e Ingresos 2028'!$A:$A, "&gt;="&amp;DATE(2028, 6, 1), 'Gastos e Ingresos 2028'!$A:$A, "&lt;"&amp;DATE(2028, 7, 1))&gt;0, SUMIFS('Gastos e Ingresos 2028'!$E:$E, 'Gastos e Ingresos 2028'!$D:$D, "Gasto", 'Gastos e Ingresos 2028'!$C:$C, G$2, 'Gastos e Ingresos 2028'!$A:$A, "&gt;="&amp;DATE(2028, 6, 1), 'Gastos e Ingresos 2028'!$A:$A, "&lt;"&amp;DATE(2028, 7, 1)), "")</f>
        <v/>
      </c>
      <c r="H8" s="75">
        <f>IF(COUNTIFS('Gastos e Ingresos 2028'!$A:$A, "&gt;="&amp;DATE(2028, 6, 1), 'Gastos e Ingresos 2028'!$A:$A, "&lt;"&amp;DATE(2028, 7, 1))&gt;0, SUMIFS('Gastos e Ingresos 2028'!$E:$E, 'Gastos e Ingresos 2028'!$D:$D, "Gasto", 'Gastos e Ingresos 2028'!$C:$C, H$2, 'Gastos e Ingresos 2028'!$A:$A, "&gt;="&amp;DATE(2028, 6, 1), 'Gastos e Ingresos 2028'!$A:$A, "&lt;"&amp;DATE(2028, 7, 1)), "")</f>
        <v/>
      </c>
      <c r="I8" s="75">
        <f>IF(COUNTIFS('Gastos e Ingresos 2028'!$A:$A, "&gt;="&amp;DATE(2028, 6, 1), 'Gastos e Ingresos 2028'!$A:$A, "&lt;"&amp;DATE(2028, 7, 1))&gt;0, SUMIFS('Gastos e Ingresos 2028'!$E:$E, 'Gastos e Ingresos 2028'!$D:$D, "Gasto", 'Gastos e Ingresos 2028'!$C:$C, I$2, 'Gastos e Ingresos 2028'!$A:$A, "&gt;="&amp;DATE(2028, 6, 1), 'Gastos e Ingresos 2028'!$A:$A, "&lt;"&amp;DATE(2028, 7, 1)), "")</f>
        <v/>
      </c>
      <c r="J8" s="75">
        <f>IF(COUNTIFS('Gastos e Ingresos 2028'!$A:$A, "&gt;="&amp;DATE(2028, 6, 1), 'Gastos e Ingresos 2028'!$A:$A, "&lt;"&amp;DATE(2028, 7, 1))&gt;0, SUMIFS('Gastos e Ingresos 2028'!$E:$E, 'Gastos e Ingresos 2028'!$D:$D, "Gasto", 'Gastos e Ingresos 2028'!$C:$C, J$2, 'Gastos e Ingresos 2028'!$A:$A, "&gt;="&amp;DATE(2028, 6, 1), 'Gastos e Ingresos 2028'!$A:$A, "&lt;"&amp;DATE(2028, 7, 1)), "")</f>
        <v/>
      </c>
      <c r="K8" s="75">
        <f>IF(COUNTIFS('Gastos e Ingresos 2028'!$A:$A, "&gt;="&amp;DATE(2028, 6, 1), 'Gastos e Ingresos 2028'!$A:$A, "&lt;"&amp;DATE(2028, 7, 1))&gt;0, SUMIFS('Gastos e Ingresos 2028'!$E:$E, 'Gastos e Ingresos 2028'!$D:$D, "Gasto", 'Gastos e Ingresos 2028'!$C:$C, K$2, 'Gastos e Ingresos 2028'!$A:$A, "&gt;="&amp;DATE(2028, 6, 1), 'Gastos e Ingresos 2028'!$A:$A, "&lt;"&amp;DATE(2028, 7, 1)), "")</f>
        <v/>
      </c>
      <c r="L8" s="75">
        <f>IF(COUNTIFS('Gastos e Ingresos 2028'!$A:$A, "&gt;="&amp;DATE(2028, 6, 1), 'Gastos e Ingresos 2028'!$A:$A, "&lt;"&amp;DATE(2028, 7, 1))&gt;0, SUMIFS('Gastos e Ingresos 2028'!$E:$E, 'Gastos e Ingresos 2028'!$D:$D, "Gasto", 'Gastos e Ingresos 2028'!$C:$C, L$2, 'Gastos e Ingresos 2028'!$A:$A, "&gt;="&amp;DATE(2028, 6, 1), 'Gastos e Ingresos 2028'!$A:$A, "&lt;"&amp;DATE(2028, 7, 1)), "")</f>
        <v/>
      </c>
      <c r="M8" s="75">
        <f>IF(COUNTIFS('Gastos e Ingresos 2028'!$A:$A, "&gt;="&amp;DATE(2028, 6, 1), 'Gastos e Ingresos 2028'!$A:$A, "&lt;"&amp;DATE(2028, 7, 1))&gt;0, SUMIFS('Gastos e Ingresos 2028'!$E:$E, 'Gastos e Ingresos 2028'!$D:$D, "Gasto", 'Gastos e Ingresos 2028'!$C:$C, M$2, 'Gastos e Ingresos 2028'!$A:$A, "&gt;="&amp;DATE(2028, 6, 1), 'Gastos e Ingresos 2028'!$A:$A, "&lt;"&amp;DATE(2028, 7, 1)), "")</f>
        <v/>
      </c>
      <c r="N8" s="75">
        <f>IF(COUNTIFS('Gastos e Ingresos 2028'!$A:$A, "&gt;="&amp;DATE(2028, 6, 1), 'Gastos e Ingresos 2028'!$A:$A, "&lt;"&amp;DATE(2028, 7, 1))&gt;0, SUMIFS('Gastos e Ingresos 2028'!$E:$E, 'Gastos e Ingresos 2028'!$D:$D, "Gasto", 'Gastos e Ingresos 2028'!$C:$C, N$2, 'Gastos e Ingresos 2028'!$A:$A, "&gt;="&amp;DATE(2028, 6, 1), 'Gastos e Ingresos 2028'!$A:$A, "&lt;"&amp;DATE(2028, 7, 1)), "")</f>
        <v/>
      </c>
      <c r="O8" s="75">
        <f>IF(COUNTIFS('Gastos e Ingresos 2028'!$A:$A, "&gt;="&amp;DATE(2028, 6, 1), 'Gastos e Ingresos 2028'!$A:$A, "&lt;"&amp;DATE(2028, 7, 1))&gt;0, SUMIFS('Gastos e Ingresos 2028'!$E:$E, 'Gastos e Ingresos 2028'!$D:$D, "Gasto", 'Gastos e Ingresos 2028'!$C:$C, O$2, 'Gastos e Ingresos 2028'!$A:$A, "&gt;="&amp;DATE(2028, 6, 1), 'Gastos e Ingresos 2028'!$A:$A, "&lt;"&amp;DATE(2028, 7, 1)), "")</f>
        <v/>
      </c>
      <c r="P8" s="75">
        <f>IF(COUNTIFS('Gastos e Ingresos 2028'!$A:$A, "&gt;="&amp;DATE(2028, 6, 1), 'Gastos e Ingresos 2028'!$A:$A, "&lt;"&amp;DATE(2028, 7, 1))&gt;0, SUMIFS('Gastos e Ingresos 2028'!$E:$E, 'Gastos e Ingresos 2028'!$D:$D, "Gasto", 'Gastos e Ingresos 2028'!$C:$C, P$2, 'Gastos e Ingresos 2028'!$A:$A, "&gt;="&amp;DATE(2028, 6, 1), 'Gastos e Ingresos 2028'!$A:$A, "&lt;"&amp;DATE(2028, 7, 1)), "")</f>
        <v/>
      </c>
      <c r="Q8" s="75">
        <f>IF(COUNTIFS('Gastos e Ingresos 2028'!$A:$A, "&gt;="&amp;DATE(2028, 6, 1), 'Gastos e Ingresos 2028'!$A:$A, "&lt;"&amp;DATE(2028, 7, 1))&gt;0, SUMIFS('Gastos e Ingresos 2028'!$E:$E, 'Gastos e Ingresos 2028'!$D:$D, "Gasto", 'Gastos e Ingresos 2028'!$C:$C, Q$2, 'Gastos e Ingresos 2028'!$A:$A, "&gt;="&amp;DATE(2028, 6, 1), 'Gastos e Ingresos 2028'!$A:$A, "&lt;"&amp;DATE(2028, 7, 1)), "")</f>
        <v/>
      </c>
      <c r="R8" s="75">
        <f>IF(COUNTIFS('Gastos e Ingresos 2028'!$A:$A, "&gt;="&amp;DATE(2028, 6, 1), 'Gastos e Ingresos 2028'!$A:$A, "&lt;"&amp;DATE(2028, 7, 1))&gt;0, SUMIFS('Gastos e Ingresos 2028'!$E:$E, 'Gastos e Ingresos 2028'!$D:$D, "Gasto", 'Gastos e Ingresos 2028'!$C:$C, R$2, 'Gastos e Ingresos 2028'!$A:$A, "&gt;="&amp;DATE(2028, 6, 1), 'Gastos e Ingresos 2028'!$A:$A, "&lt;"&amp;DATE(2028, 7, 1)), "")</f>
        <v/>
      </c>
    </row>
    <row r="9" ht="24" customHeight="1" s="18">
      <c r="A9" s="97" t="inlineStr">
        <is>
          <t>Julio</t>
        </is>
      </c>
      <c r="B9" s="78">
        <f>IF(COUNTIFS('Gastos e Ingresos 2028'!$A:$A, "&gt;="&amp;DATE(2028, 7, 1), 'Gastos e Ingresos 2028'!$A:$A, "&lt;"&amp;DATE(2028, 8, 1))&gt;0, SUMIFS('Gastos e Ingresos 2028'!$E:$E, 'Gastos e Ingresos 2028'!$D:$D, "Ingreso", 'Gastos e Ingresos 2028'!$A:$A, "&gt;="&amp;DATE(2028, 7, 1), 'Gastos e Ingresos 2028'!$A:$A, "&lt;"&amp;DATE(2028, 8, 1)), "")</f>
        <v/>
      </c>
      <c r="C9" s="78">
        <f>IF(COUNTIFS('Gastos e Ingresos 2028'!$A:$A, "&gt;="&amp;DATE(2028, 7, 1), 'Gastos e Ingresos 2028'!$A:$A, "&lt;"&amp;DATE(2028, 8, 1))&gt;0, SUMIFS('Gastos e Ingresos 2028'!$E:$E, 'Gastos e Ingresos 2028'!$D:$D, "Gasto", 'Gastos e Ingresos 2028'!$A:$A, "&gt;="&amp;DATE(2028, 7, 1), 'Gastos e Ingresos 2028'!$A:$A, "&lt;"&amp;DATE(2028, 8, 1)), "")</f>
        <v/>
      </c>
      <c r="D9" s="83">
        <f>IF(B9="","",B9-C9)</f>
        <v/>
      </c>
      <c r="E9" s="98">
        <f>IF(B9="","",IF(B9&gt;0, D9/B9, 0))</f>
        <v/>
      </c>
      <c r="F9" s="78">
        <f>IF(COUNTIFS('Gastos e Ingresos 2028'!$A:$A, "&gt;="&amp;DATE(2028, 7, 1), 'Gastos e Ingresos 2028'!$A:$A, "&lt;"&amp;DATE(2028, 8, 1))&gt;0, SUMIFS('Gastos e Ingresos 2028'!$E:$E, 'Gastos e Ingresos 2028'!$D:$D, "Gasto", 'Gastos e Ingresos 2028'!$C:$C, F$2, 'Gastos e Ingresos 2028'!$A:$A, "&gt;="&amp;DATE(2028, 7, 1), 'Gastos e Ingresos 2028'!$A:$A, "&lt;"&amp;DATE(2028, 8, 1)), "")</f>
        <v/>
      </c>
      <c r="G9" s="78">
        <f>IF(COUNTIFS('Gastos e Ingresos 2028'!$A:$A, "&gt;="&amp;DATE(2028, 7, 1), 'Gastos e Ingresos 2028'!$A:$A, "&lt;"&amp;DATE(2028, 8, 1))&gt;0, SUMIFS('Gastos e Ingresos 2028'!$E:$E, 'Gastos e Ingresos 2028'!$D:$D, "Gasto", 'Gastos e Ingresos 2028'!$C:$C, G$2, 'Gastos e Ingresos 2028'!$A:$A, "&gt;="&amp;DATE(2028, 7, 1), 'Gastos e Ingresos 2028'!$A:$A, "&lt;"&amp;DATE(2028, 8, 1)), "")</f>
        <v/>
      </c>
      <c r="H9" s="78">
        <f>IF(COUNTIFS('Gastos e Ingresos 2028'!$A:$A, "&gt;="&amp;DATE(2028, 7, 1), 'Gastos e Ingresos 2028'!$A:$A, "&lt;"&amp;DATE(2028, 8, 1))&gt;0, SUMIFS('Gastos e Ingresos 2028'!$E:$E, 'Gastos e Ingresos 2028'!$D:$D, "Gasto", 'Gastos e Ingresos 2028'!$C:$C, H$2, 'Gastos e Ingresos 2028'!$A:$A, "&gt;="&amp;DATE(2028, 7, 1), 'Gastos e Ingresos 2028'!$A:$A, "&lt;"&amp;DATE(2028, 8, 1)), "")</f>
        <v/>
      </c>
      <c r="I9" s="78">
        <f>IF(COUNTIFS('Gastos e Ingresos 2028'!$A:$A, "&gt;="&amp;DATE(2028, 7, 1), 'Gastos e Ingresos 2028'!$A:$A, "&lt;"&amp;DATE(2028, 8, 1))&gt;0, SUMIFS('Gastos e Ingresos 2028'!$E:$E, 'Gastos e Ingresos 2028'!$D:$D, "Gasto", 'Gastos e Ingresos 2028'!$C:$C, I$2, 'Gastos e Ingresos 2028'!$A:$A, "&gt;="&amp;DATE(2028, 7, 1), 'Gastos e Ingresos 2028'!$A:$A, "&lt;"&amp;DATE(2028, 8, 1)), "")</f>
        <v/>
      </c>
      <c r="J9" s="78">
        <f>IF(COUNTIFS('Gastos e Ingresos 2028'!$A:$A, "&gt;="&amp;DATE(2028, 7, 1), 'Gastos e Ingresos 2028'!$A:$A, "&lt;"&amp;DATE(2028, 8, 1))&gt;0, SUMIFS('Gastos e Ingresos 2028'!$E:$E, 'Gastos e Ingresos 2028'!$D:$D, "Gasto", 'Gastos e Ingresos 2028'!$C:$C, J$2, 'Gastos e Ingresos 2028'!$A:$A, "&gt;="&amp;DATE(2028, 7, 1), 'Gastos e Ingresos 2028'!$A:$A, "&lt;"&amp;DATE(2028, 8, 1)), "")</f>
        <v/>
      </c>
      <c r="K9" s="78">
        <f>IF(COUNTIFS('Gastos e Ingresos 2028'!$A:$A, "&gt;="&amp;DATE(2028, 7, 1), 'Gastos e Ingresos 2028'!$A:$A, "&lt;"&amp;DATE(2028, 8, 1))&gt;0, SUMIFS('Gastos e Ingresos 2028'!$E:$E, 'Gastos e Ingresos 2028'!$D:$D, "Gasto", 'Gastos e Ingresos 2028'!$C:$C, K$2, 'Gastos e Ingresos 2028'!$A:$A, "&gt;="&amp;DATE(2028, 7, 1), 'Gastos e Ingresos 2028'!$A:$A, "&lt;"&amp;DATE(2028, 8, 1)), "")</f>
        <v/>
      </c>
      <c r="L9" s="78">
        <f>IF(COUNTIFS('Gastos e Ingresos 2028'!$A:$A, "&gt;="&amp;DATE(2028, 7, 1), 'Gastos e Ingresos 2028'!$A:$A, "&lt;"&amp;DATE(2028, 8, 1))&gt;0, SUMIFS('Gastos e Ingresos 2028'!$E:$E, 'Gastos e Ingresos 2028'!$D:$D, "Gasto", 'Gastos e Ingresos 2028'!$C:$C, L$2, 'Gastos e Ingresos 2028'!$A:$A, "&gt;="&amp;DATE(2028, 7, 1), 'Gastos e Ingresos 2028'!$A:$A, "&lt;"&amp;DATE(2028, 8, 1)), "")</f>
        <v/>
      </c>
      <c r="M9" s="78">
        <f>IF(COUNTIFS('Gastos e Ingresos 2028'!$A:$A, "&gt;="&amp;DATE(2028, 7, 1), 'Gastos e Ingresos 2028'!$A:$A, "&lt;"&amp;DATE(2028, 8, 1))&gt;0, SUMIFS('Gastos e Ingresos 2028'!$E:$E, 'Gastos e Ingresos 2028'!$D:$D, "Gasto", 'Gastos e Ingresos 2028'!$C:$C, M$2, 'Gastos e Ingresos 2028'!$A:$A, "&gt;="&amp;DATE(2028, 7, 1), 'Gastos e Ingresos 2028'!$A:$A, "&lt;"&amp;DATE(2028, 8, 1)), "")</f>
        <v/>
      </c>
      <c r="N9" s="78">
        <f>IF(COUNTIFS('Gastos e Ingresos 2028'!$A:$A, "&gt;="&amp;DATE(2028, 7, 1), 'Gastos e Ingresos 2028'!$A:$A, "&lt;"&amp;DATE(2028, 8, 1))&gt;0, SUMIFS('Gastos e Ingresos 2028'!$E:$E, 'Gastos e Ingresos 2028'!$D:$D, "Gasto", 'Gastos e Ingresos 2028'!$C:$C, N$2, 'Gastos e Ingresos 2028'!$A:$A, "&gt;="&amp;DATE(2028, 7, 1), 'Gastos e Ingresos 2028'!$A:$A, "&lt;"&amp;DATE(2028, 8, 1)), "")</f>
        <v/>
      </c>
      <c r="O9" s="78">
        <f>IF(COUNTIFS('Gastos e Ingresos 2028'!$A:$A, "&gt;="&amp;DATE(2028, 7, 1), 'Gastos e Ingresos 2028'!$A:$A, "&lt;"&amp;DATE(2028, 8, 1))&gt;0, SUMIFS('Gastos e Ingresos 2028'!$E:$E, 'Gastos e Ingresos 2028'!$D:$D, "Gasto", 'Gastos e Ingresos 2028'!$C:$C, O$2, 'Gastos e Ingresos 2028'!$A:$A, "&gt;="&amp;DATE(2028, 7, 1), 'Gastos e Ingresos 2028'!$A:$A, "&lt;"&amp;DATE(2028, 8, 1)), "")</f>
        <v/>
      </c>
      <c r="P9" s="78">
        <f>IF(COUNTIFS('Gastos e Ingresos 2028'!$A:$A, "&gt;="&amp;DATE(2028, 7, 1), 'Gastos e Ingresos 2028'!$A:$A, "&lt;"&amp;DATE(2028, 8, 1))&gt;0, SUMIFS('Gastos e Ingresos 2028'!$E:$E, 'Gastos e Ingresos 2028'!$D:$D, "Gasto", 'Gastos e Ingresos 2028'!$C:$C, P$2, 'Gastos e Ingresos 2028'!$A:$A, "&gt;="&amp;DATE(2028, 7, 1), 'Gastos e Ingresos 2028'!$A:$A, "&lt;"&amp;DATE(2028, 8, 1)), "")</f>
        <v/>
      </c>
      <c r="Q9" s="78">
        <f>IF(COUNTIFS('Gastos e Ingresos 2028'!$A:$A, "&gt;="&amp;DATE(2028, 7, 1), 'Gastos e Ingresos 2028'!$A:$A, "&lt;"&amp;DATE(2028, 8, 1))&gt;0, SUMIFS('Gastos e Ingresos 2028'!$E:$E, 'Gastos e Ingresos 2028'!$D:$D, "Gasto", 'Gastos e Ingresos 2028'!$C:$C, Q$2, 'Gastos e Ingresos 2028'!$A:$A, "&gt;="&amp;DATE(2028, 7, 1), 'Gastos e Ingresos 2028'!$A:$A, "&lt;"&amp;DATE(2028, 8, 1)), "")</f>
        <v/>
      </c>
      <c r="R9" s="78">
        <f>IF(COUNTIFS('Gastos e Ingresos 2028'!$A:$A, "&gt;="&amp;DATE(2028, 7, 1), 'Gastos e Ingresos 2028'!$A:$A, "&lt;"&amp;DATE(2028, 8, 1))&gt;0, SUMIFS('Gastos e Ingresos 2028'!$E:$E, 'Gastos e Ingresos 2028'!$D:$D, "Gasto", 'Gastos e Ingresos 2028'!$C:$C, R$2, 'Gastos e Ingresos 2028'!$A:$A, "&gt;="&amp;DATE(2028, 7, 1), 'Gastos e Ingresos 2028'!$A:$A, "&lt;"&amp;DATE(2028, 8, 1)), "")</f>
        <v/>
      </c>
    </row>
    <row r="10" ht="24" customHeight="1" s="18">
      <c r="A10" s="97" t="inlineStr">
        <is>
          <t>Agosto</t>
        </is>
      </c>
      <c r="B10" s="78">
        <f>IF(COUNTIFS('Gastos e Ingresos 2028'!$A:$A, "&gt;="&amp;DATE(2028, 8, 1), 'Gastos e Ingresos 2028'!$A:$A, "&lt;"&amp;DATE(2028, 9, 1))&gt;0, SUMIFS('Gastos e Ingresos 2028'!$E:$E, 'Gastos e Ingresos 2028'!$D:$D, "Ingreso", 'Gastos e Ingresos 2028'!$A:$A, "&gt;="&amp;DATE(2028, 8, 1), 'Gastos e Ingresos 2028'!$A:$A, "&lt;"&amp;DATE(2028, 9, 1)), "")</f>
        <v/>
      </c>
      <c r="C10" s="78">
        <f>IF(COUNTIFS('Gastos e Ingresos 2028'!$A:$A, "&gt;="&amp;DATE(2028, 8, 1), 'Gastos e Ingresos 2028'!$A:$A, "&lt;"&amp;DATE(2028, 9, 1))&gt;0, SUMIFS('Gastos e Ingresos 2028'!$E:$E, 'Gastos e Ingresos 2028'!$D:$D, "Gasto", 'Gastos e Ingresos 2028'!$A:$A, "&gt;="&amp;DATE(2028, 8, 1), 'Gastos e Ingresos 2028'!$A:$A, "&lt;"&amp;DATE(2028, 9, 1)), "")</f>
        <v/>
      </c>
      <c r="D10" s="83">
        <f>IF(B10="","",B10-C10)</f>
        <v/>
      </c>
      <c r="E10" s="98">
        <f>IF(B10="","",IF(B10&gt;0, D10/B10, 0))</f>
        <v/>
      </c>
      <c r="F10" s="75">
        <f>IF(COUNTIFS('Gastos e Ingresos 2028'!$A:$A, "&gt;="&amp;DATE(2028, 8, 1), 'Gastos e Ingresos 2028'!$A:$A, "&lt;"&amp;DATE(2028, 9, 1))&gt;0, SUMIFS('Gastos e Ingresos 2028'!$E:$E, 'Gastos e Ingresos 2028'!$D:$D, "Gasto", 'Gastos e Ingresos 2028'!$C:$C, F$2, 'Gastos e Ingresos 2028'!$A:$A, "&gt;="&amp;DATE(2028, 8, 1), 'Gastos e Ingresos 2028'!$A:$A, "&lt;"&amp;DATE(2028, 9, 1)), "")</f>
        <v/>
      </c>
      <c r="G10" s="75">
        <f>IF(COUNTIFS('Gastos e Ingresos 2028'!$A:$A, "&gt;="&amp;DATE(2028, 8, 1), 'Gastos e Ingresos 2028'!$A:$A, "&lt;"&amp;DATE(2028, 9, 1))&gt;0, SUMIFS('Gastos e Ingresos 2028'!$E:$E, 'Gastos e Ingresos 2028'!$D:$D, "Gasto", 'Gastos e Ingresos 2028'!$C:$C, G$2, 'Gastos e Ingresos 2028'!$A:$A, "&gt;="&amp;DATE(2028, 8, 1), 'Gastos e Ingresos 2028'!$A:$A, "&lt;"&amp;DATE(2028, 9, 1)), "")</f>
        <v/>
      </c>
      <c r="H10" s="75">
        <f>IF(COUNTIFS('Gastos e Ingresos 2028'!$A:$A, "&gt;="&amp;DATE(2028, 8, 1), 'Gastos e Ingresos 2028'!$A:$A, "&lt;"&amp;DATE(2028, 9, 1))&gt;0, SUMIFS('Gastos e Ingresos 2028'!$E:$E, 'Gastos e Ingresos 2028'!$D:$D, "Gasto", 'Gastos e Ingresos 2028'!$C:$C, H$2, 'Gastos e Ingresos 2028'!$A:$A, "&gt;="&amp;DATE(2028, 8, 1), 'Gastos e Ingresos 2028'!$A:$A, "&lt;"&amp;DATE(2028, 9, 1)), "")</f>
        <v/>
      </c>
      <c r="I10" s="75">
        <f>IF(COUNTIFS('Gastos e Ingresos 2028'!$A:$A, "&gt;="&amp;DATE(2028, 8, 1), 'Gastos e Ingresos 2028'!$A:$A, "&lt;"&amp;DATE(2028, 9, 1))&gt;0, SUMIFS('Gastos e Ingresos 2028'!$E:$E, 'Gastos e Ingresos 2028'!$D:$D, "Gasto", 'Gastos e Ingresos 2028'!$C:$C, I$2, 'Gastos e Ingresos 2028'!$A:$A, "&gt;="&amp;DATE(2028, 8, 1), 'Gastos e Ingresos 2028'!$A:$A, "&lt;"&amp;DATE(2028, 9, 1)), "")</f>
        <v/>
      </c>
      <c r="J10" s="75">
        <f>IF(COUNTIFS('Gastos e Ingresos 2028'!$A:$A, "&gt;="&amp;DATE(2028, 8, 1), 'Gastos e Ingresos 2028'!$A:$A, "&lt;"&amp;DATE(2028, 9, 1))&gt;0, SUMIFS('Gastos e Ingresos 2028'!$E:$E, 'Gastos e Ingresos 2028'!$D:$D, "Gasto", 'Gastos e Ingresos 2028'!$C:$C, J$2, 'Gastos e Ingresos 2028'!$A:$A, "&gt;="&amp;DATE(2028, 8, 1), 'Gastos e Ingresos 2028'!$A:$A, "&lt;"&amp;DATE(2028, 9, 1)), "")</f>
        <v/>
      </c>
      <c r="K10" s="75">
        <f>IF(COUNTIFS('Gastos e Ingresos 2028'!$A:$A, "&gt;="&amp;DATE(2028, 8, 1), 'Gastos e Ingresos 2028'!$A:$A, "&lt;"&amp;DATE(2028, 9, 1))&gt;0, SUMIFS('Gastos e Ingresos 2028'!$E:$E, 'Gastos e Ingresos 2028'!$D:$D, "Gasto", 'Gastos e Ingresos 2028'!$C:$C, K$2, 'Gastos e Ingresos 2028'!$A:$A, "&gt;="&amp;DATE(2028, 8, 1), 'Gastos e Ingresos 2028'!$A:$A, "&lt;"&amp;DATE(2028, 9, 1)), "")</f>
        <v/>
      </c>
      <c r="L10" s="75">
        <f>IF(COUNTIFS('Gastos e Ingresos 2028'!$A:$A, "&gt;="&amp;DATE(2028, 8, 1), 'Gastos e Ingresos 2028'!$A:$A, "&lt;"&amp;DATE(2028, 9, 1))&gt;0, SUMIFS('Gastos e Ingresos 2028'!$E:$E, 'Gastos e Ingresos 2028'!$D:$D, "Gasto", 'Gastos e Ingresos 2028'!$C:$C, L$2, 'Gastos e Ingresos 2028'!$A:$A, "&gt;="&amp;DATE(2028, 8, 1), 'Gastos e Ingresos 2028'!$A:$A, "&lt;"&amp;DATE(2028, 9, 1)), "")</f>
        <v/>
      </c>
      <c r="M10" s="75">
        <f>IF(COUNTIFS('Gastos e Ingresos 2028'!$A:$A, "&gt;="&amp;DATE(2028, 8, 1), 'Gastos e Ingresos 2028'!$A:$A, "&lt;"&amp;DATE(2028, 9, 1))&gt;0, SUMIFS('Gastos e Ingresos 2028'!$E:$E, 'Gastos e Ingresos 2028'!$D:$D, "Gasto", 'Gastos e Ingresos 2028'!$C:$C, M$2, 'Gastos e Ingresos 2028'!$A:$A, "&gt;="&amp;DATE(2028, 8, 1), 'Gastos e Ingresos 2028'!$A:$A, "&lt;"&amp;DATE(2028, 9, 1)), "")</f>
        <v/>
      </c>
      <c r="N10" s="75">
        <f>IF(COUNTIFS('Gastos e Ingresos 2028'!$A:$A, "&gt;="&amp;DATE(2028, 8, 1), 'Gastos e Ingresos 2028'!$A:$A, "&lt;"&amp;DATE(2028, 9, 1))&gt;0, SUMIFS('Gastos e Ingresos 2028'!$E:$E, 'Gastos e Ingresos 2028'!$D:$D, "Gasto", 'Gastos e Ingresos 2028'!$C:$C, N$2, 'Gastos e Ingresos 2028'!$A:$A, "&gt;="&amp;DATE(2028, 8, 1), 'Gastos e Ingresos 2028'!$A:$A, "&lt;"&amp;DATE(2028, 9, 1)), "")</f>
        <v/>
      </c>
      <c r="O10" s="75">
        <f>IF(COUNTIFS('Gastos e Ingresos 2028'!$A:$A, "&gt;="&amp;DATE(2028, 8, 1), 'Gastos e Ingresos 2028'!$A:$A, "&lt;"&amp;DATE(2028, 9, 1))&gt;0, SUMIFS('Gastos e Ingresos 2028'!$E:$E, 'Gastos e Ingresos 2028'!$D:$D, "Gasto", 'Gastos e Ingresos 2028'!$C:$C, O$2, 'Gastos e Ingresos 2028'!$A:$A, "&gt;="&amp;DATE(2028, 8, 1), 'Gastos e Ingresos 2028'!$A:$A, "&lt;"&amp;DATE(2028, 9, 1)), "")</f>
        <v/>
      </c>
      <c r="P10" s="75">
        <f>IF(COUNTIFS('Gastos e Ingresos 2028'!$A:$A, "&gt;="&amp;DATE(2028, 8, 1), 'Gastos e Ingresos 2028'!$A:$A, "&lt;"&amp;DATE(2028, 9, 1))&gt;0, SUMIFS('Gastos e Ingresos 2028'!$E:$E, 'Gastos e Ingresos 2028'!$D:$D, "Gasto", 'Gastos e Ingresos 2028'!$C:$C, P$2, 'Gastos e Ingresos 2028'!$A:$A, "&gt;="&amp;DATE(2028, 8, 1), 'Gastos e Ingresos 2028'!$A:$A, "&lt;"&amp;DATE(2028, 9, 1)), "")</f>
        <v/>
      </c>
      <c r="Q10" s="75">
        <f>IF(COUNTIFS('Gastos e Ingresos 2028'!$A:$A, "&gt;="&amp;DATE(2028, 8, 1), 'Gastos e Ingresos 2028'!$A:$A, "&lt;"&amp;DATE(2028, 9, 1))&gt;0, SUMIFS('Gastos e Ingresos 2028'!$E:$E, 'Gastos e Ingresos 2028'!$D:$D, "Gasto", 'Gastos e Ingresos 2028'!$C:$C, Q$2, 'Gastos e Ingresos 2028'!$A:$A, "&gt;="&amp;DATE(2028, 8, 1), 'Gastos e Ingresos 2028'!$A:$A, "&lt;"&amp;DATE(2028, 9, 1)), "")</f>
        <v/>
      </c>
      <c r="R10" s="75">
        <f>IF(COUNTIFS('Gastos e Ingresos 2028'!$A:$A, "&gt;="&amp;DATE(2028, 8, 1), 'Gastos e Ingresos 2028'!$A:$A, "&lt;"&amp;DATE(2028, 9, 1))&gt;0, SUMIFS('Gastos e Ingresos 2028'!$E:$E, 'Gastos e Ingresos 2028'!$D:$D, "Gasto", 'Gastos e Ingresos 2028'!$C:$C, R$2, 'Gastos e Ingresos 2028'!$A:$A, "&gt;="&amp;DATE(2028, 8, 1), 'Gastos e Ingresos 2028'!$A:$A, "&lt;"&amp;DATE(2028, 9, 1)), "")</f>
        <v/>
      </c>
    </row>
    <row r="11" ht="24" customHeight="1" s="18">
      <c r="A11" s="97" t="inlineStr">
        <is>
          <t>Septiembre</t>
        </is>
      </c>
      <c r="B11" s="78">
        <f>IF(COUNTIFS('Gastos e Ingresos 2028'!$A:$A, "&gt;="&amp;DATE(2028, 9, 1), 'Gastos e Ingresos 2028'!$A:$A, "&lt;"&amp;DATE(2028, 10, 1))&gt;0, SUMIFS('Gastos e Ingresos 2028'!$E:$E, 'Gastos e Ingresos 2028'!$D:$D, "Ingreso", 'Gastos e Ingresos 2028'!$A:$A, "&gt;="&amp;DATE(2028, 9, 1), 'Gastos e Ingresos 2028'!$A:$A, "&lt;"&amp;DATE(2028, 10, 1)), "")</f>
        <v/>
      </c>
      <c r="C11" s="78">
        <f>IF(COUNTIFS('Gastos e Ingresos 2028'!$A:$A, "&gt;="&amp;DATE(2028, 9, 1), 'Gastos e Ingresos 2028'!$A:$A, "&lt;"&amp;DATE(2028, 10, 1))&gt;0, SUMIFS('Gastos e Ingresos 2028'!$E:$E, 'Gastos e Ingresos 2028'!$D:$D, "Gasto", 'Gastos e Ingresos 2028'!$A:$A, "&gt;="&amp;DATE(2028, 9, 1), 'Gastos e Ingresos 2028'!$A:$A, "&lt;"&amp;DATE(2028, 10, 1)), "")</f>
        <v/>
      </c>
      <c r="D11" s="83">
        <f>IF(B11="","",B11-C11)</f>
        <v/>
      </c>
      <c r="E11" s="98">
        <f>IF(B11="","",IF(B11&gt;0, D11/B11, 0))</f>
        <v/>
      </c>
      <c r="F11" s="78">
        <f>IF(COUNTIFS('Gastos e Ingresos 2028'!$A:$A, "&gt;="&amp;DATE(2028, 9, 1), 'Gastos e Ingresos 2028'!$A:$A, "&lt;"&amp;DATE(2028, 10, 1))&gt;0, SUMIFS('Gastos e Ingresos 2028'!$E:$E, 'Gastos e Ingresos 2028'!$D:$D, "Gasto", 'Gastos e Ingresos 2028'!$C:$C, F$2, 'Gastos e Ingresos 2028'!$A:$A, "&gt;="&amp;DATE(2028, 9, 1), 'Gastos e Ingresos 2028'!$A:$A, "&lt;"&amp;DATE(2028, 10, 1)), "")</f>
        <v/>
      </c>
      <c r="G11" s="78">
        <f>IF(COUNTIFS('Gastos e Ingresos 2028'!$A:$A, "&gt;="&amp;DATE(2028, 9, 1), 'Gastos e Ingresos 2028'!$A:$A, "&lt;"&amp;DATE(2028, 10, 1))&gt;0, SUMIFS('Gastos e Ingresos 2028'!$E:$E, 'Gastos e Ingresos 2028'!$D:$D, "Gasto", 'Gastos e Ingresos 2028'!$C:$C, G$2, 'Gastos e Ingresos 2028'!$A:$A, "&gt;="&amp;DATE(2028, 9, 1), 'Gastos e Ingresos 2028'!$A:$A, "&lt;"&amp;DATE(2028, 10, 1)), "")</f>
        <v/>
      </c>
      <c r="H11" s="78">
        <f>IF(COUNTIFS('Gastos e Ingresos 2028'!$A:$A, "&gt;="&amp;DATE(2028, 9, 1), 'Gastos e Ingresos 2028'!$A:$A, "&lt;"&amp;DATE(2028, 10, 1))&gt;0, SUMIFS('Gastos e Ingresos 2028'!$E:$E, 'Gastos e Ingresos 2028'!$D:$D, "Gasto", 'Gastos e Ingresos 2028'!$C:$C, H$2, 'Gastos e Ingresos 2028'!$A:$A, "&gt;="&amp;DATE(2028, 9, 1), 'Gastos e Ingresos 2028'!$A:$A, "&lt;"&amp;DATE(2028, 10, 1)), "")</f>
        <v/>
      </c>
      <c r="I11" s="78">
        <f>IF(COUNTIFS('Gastos e Ingresos 2028'!$A:$A, "&gt;="&amp;DATE(2028, 9, 1), 'Gastos e Ingresos 2028'!$A:$A, "&lt;"&amp;DATE(2028, 10, 1))&gt;0, SUMIFS('Gastos e Ingresos 2028'!$E:$E, 'Gastos e Ingresos 2028'!$D:$D, "Gasto", 'Gastos e Ingresos 2028'!$C:$C, I$2, 'Gastos e Ingresos 2028'!$A:$A, "&gt;="&amp;DATE(2028, 9, 1), 'Gastos e Ingresos 2028'!$A:$A, "&lt;"&amp;DATE(2028, 10, 1)), "")</f>
        <v/>
      </c>
      <c r="J11" s="78">
        <f>IF(COUNTIFS('Gastos e Ingresos 2028'!$A:$A, "&gt;="&amp;DATE(2028, 9, 1), 'Gastos e Ingresos 2028'!$A:$A, "&lt;"&amp;DATE(2028, 10, 1))&gt;0, SUMIFS('Gastos e Ingresos 2028'!$E:$E, 'Gastos e Ingresos 2028'!$D:$D, "Gasto", 'Gastos e Ingresos 2028'!$C:$C, J$2, 'Gastos e Ingresos 2028'!$A:$A, "&gt;="&amp;DATE(2028, 9, 1), 'Gastos e Ingresos 2028'!$A:$A, "&lt;"&amp;DATE(2028, 10, 1)), "")</f>
        <v/>
      </c>
      <c r="K11" s="78">
        <f>IF(COUNTIFS('Gastos e Ingresos 2028'!$A:$A, "&gt;="&amp;DATE(2028, 9, 1), 'Gastos e Ingresos 2028'!$A:$A, "&lt;"&amp;DATE(2028, 10, 1))&gt;0, SUMIFS('Gastos e Ingresos 2028'!$E:$E, 'Gastos e Ingresos 2028'!$D:$D, "Gasto", 'Gastos e Ingresos 2028'!$C:$C, K$2, 'Gastos e Ingresos 2028'!$A:$A, "&gt;="&amp;DATE(2028, 9, 1), 'Gastos e Ingresos 2028'!$A:$A, "&lt;"&amp;DATE(2028, 10, 1)), "")</f>
        <v/>
      </c>
      <c r="L11" s="78">
        <f>IF(COUNTIFS('Gastos e Ingresos 2028'!$A:$A, "&gt;="&amp;DATE(2028, 9, 1), 'Gastos e Ingresos 2028'!$A:$A, "&lt;"&amp;DATE(2028, 10, 1))&gt;0, SUMIFS('Gastos e Ingresos 2028'!$E:$E, 'Gastos e Ingresos 2028'!$D:$D, "Gasto", 'Gastos e Ingresos 2028'!$C:$C, L$2, 'Gastos e Ingresos 2028'!$A:$A, "&gt;="&amp;DATE(2028, 9, 1), 'Gastos e Ingresos 2028'!$A:$A, "&lt;"&amp;DATE(2028, 10, 1)), "")</f>
        <v/>
      </c>
      <c r="M11" s="78">
        <f>IF(COUNTIFS('Gastos e Ingresos 2028'!$A:$A, "&gt;="&amp;DATE(2028, 9, 1), 'Gastos e Ingresos 2028'!$A:$A, "&lt;"&amp;DATE(2028, 10, 1))&gt;0, SUMIFS('Gastos e Ingresos 2028'!$E:$E, 'Gastos e Ingresos 2028'!$D:$D, "Gasto", 'Gastos e Ingresos 2028'!$C:$C, M$2, 'Gastos e Ingresos 2028'!$A:$A, "&gt;="&amp;DATE(2028, 9, 1), 'Gastos e Ingresos 2028'!$A:$A, "&lt;"&amp;DATE(2028, 10, 1)), "")</f>
        <v/>
      </c>
      <c r="N11" s="78">
        <f>IF(COUNTIFS('Gastos e Ingresos 2028'!$A:$A, "&gt;="&amp;DATE(2028, 9, 1), 'Gastos e Ingresos 2028'!$A:$A, "&lt;"&amp;DATE(2028, 10, 1))&gt;0, SUMIFS('Gastos e Ingresos 2028'!$E:$E, 'Gastos e Ingresos 2028'!$D:$D, "Gasto", 'Gastos e Ingresos 2028'!$C:$C, N$2, 'Gastos e Ingresos 2028'!$A:$A, "&gt;="&amp;DATE(2028, 9, 1), 'Gastos e Ingresos 2028'!$A:$A, "&lt;"&amp;DATE(2028, 10, 1)), "")</f>
        <v/>
      </c>
      <c r="O11" s="78">
        <f>IF(COUNTIFS('Gastos e Ingresos 2028'!$A:$A, "&gt;="&amp;DATE(2028, 9, 1), 'Gastos e Ingresos 2028'!$A:$A, "&lt;"&amp;DATE(2028, 10, 1))&gt;0, SUMIFS('Gastos e Ingresos 2028'!$E:$E, 'Gastos e Ingresos 2028'!$D:$D, "Gasto", 'Gastos e Ingresos 2028'!$C:$C, O$2, 'Gastos e Ingresos 2028'!$A:$A, "&gt;="&amp;DATE(2028, 9, 1), 'Gastos e Ingresos 2028'!$A:$A, "&lt;"&amp;DATE(2028, 10, 1)), "")</f>
        <v/>
      </c>
      <c r="P11" s="78">
        <f>IF(COUNTIFS('Gastos e Ingresos 2028'!$A:$A, "&gt;="&amp;DATE(2028, 9, 1), 'Gastos e Ingresos 2028'!$A:$A, "&lt;"&amp;DATE(2028, 10, 1))&gt;0, SUMIFS('Gastos e Ingresos 2028'!$E:$E, 'Gastos e Ingresos 2028'!$D:$D, "Gasto", 'Gastos e Ingresos 2028'!$C:$C, P$2, 'Gastos e Ingresos 2028'!$A:$A, "&gt;="&amp;DATE(2028, 9, 1), 'Gastos e Ingresos 2028'!$A:$A, "&lt;"&amp;DATE(2028, 10, 1)), "")</f>
        <v/>
      </c>
      <c r="Q11" s="78">
        <f>IF(COUNTIFS('Gastos e Ingresos 2028'!$A:$A, "&gt;="&amp;DATE(2028, 9, 1), 'Gastos e Ingresos 2028'!$A:$A, "&lt;"&amp;DATE(2028, 10, 1))&gt;0, SUMIFS('Gastos e Ingresos 2028'!$E:$E, 'Gastos e Ingresos 2028'!$D:$D, "Gasto", 'Gastos e Ingresos 2028'!$C:$C, Q$2, 'Gastos e Ingresos 2028'!$A:$A, "&gt;="&amp;DATE(2028, 9, 1), 'Gastos e Ingresos 2028'!$A:$A, "&lt;"&amp;DATE(2028, 10, 1)), "")</f>
        <v/>
      </c>
      <c r="R11" s="78">
        <f>IF(COUNTIFS('Gastos e Ingresos 2028'!$A:$A, "&gt;="&amp;DATE(2028, 9, 1), 'Gastos e Ingresos 2028'!$A:$A, "&lt;"&amp;DATE(2028, 10, 1))&gt;0, SUMIFS('Gastos e Ingresos 2028'!$E:$E, 'Gastos e Ingresos 2028'!$D:$D, "Gasto", 'Gastos e Ingresos 2028'!$C:$C, R$2, 'Gastos e Ingresos 2028'!$A:$A, "&gt;="&amp;DATE(2028, 9, 1), 'Gastos e Ingresos 2028'!$A:$A, "&lt;"&amp;DATE(2028, 10, 1)), "")</f>
        <v/>
      </c>
    </row>
    <row r="12" ht="24" customHeight="1" s="18">
      <c r="A12" s="97" t="inlineStr">
        <is>
          <t>Octubre</t>
        </is>
      </c>
      <c r="B12" s="78">
        <f>IF(COUNTIFS('Gastos e Ingresos 2028'!$A:$A, "&gt;="&amp;DATE(2028, 10, 1), 'Gastos e Ingresos 2028'!$A:$A, "&lt;"&amp;DATE(2028, 11, 1))&gt;0, SUMIFS('Gastos e Ingresos 2028'!$E:$E, 'Gastos e Ingresos 2028'!$D:$D, "Ingreso", 'Gastos e Ingresos 2028'!$A:$A, "&gt;="&amp;DATE(2028, 10, 1), 'Gastos e Ingresos 2028'!$A:$A, "&lt;"&amp;DATE(2028, 11, 1)), "")</f>
        <v/>
      </c>
      <c r="C12" s="78">
        <f>IF(COUNTIFS('Gastos e Ingresos 2028'!$A:$A, "&gt;="&amp;DATE(2028, 10, 1), 'Gastos e Ingresos 2028'!$A:$A, "&lt;"&amp;DATE(2028, 11, 1))&gt;0, SUMIFS('Gastos e Ingresos 2028'!$E:$E, 'Gastos e Ingresos 2028'!$D:$D, "Gasto", 'Gastos e Ingresos 2028'!$A:$A, "&gt;="&amp;DATE(2028, 10, 1), 'Gastos e Ingresos 2028'!$A:$A, "&lt;"&amp;DATE(2028, 11, 1)), "")</f>
        <v/>
      </c>
      <c r="D12" s="83">
        <f>IF(B12="","",B12-C12)</f>
        <v/>
      </c>
      <c r="E12" s="98">
        <f>IF(B12="","",IF(B12&gt;0, D12/B12, 0))</f>
        <v/>
      </c>
      <c r="F12" s="75">
        <f>IF(COUNTIFS('Gastos e Ingresos 2028'!$A:$A, "&gt;="&amp;DATE(2028, 10, 1), 'Gastos e Ingresos 2028'!$A:$A, "&lt;"&amp;DATE(2028, 11, 1))&gt;0, SUMIFS('Gastos e Ingresos 2028'!$E:$E, 'Gastos e Ingresos 2028'!$D:$D, "Gasto", 'Gastos e Ingresos 2028'!$C:$C, F$2, 'Gastos e Ingresos 2028'!$A:$A, "&gt;="&amp;DATE(2028, 10, 1), 'Gastos e Ingresos 2028'!$A:$A, "&lt;"&amp;DATE(2028, 11, 1)), "")</f>
        <v/>
      </c>
      <c r="G12" s="75">
        <f>IF(COUNTIFS('Gastos e Ingresos 2028'!$A:$A, "&gt;="&amp;DATE(2028, 10, 1), 'Gastos e Ingresos 2028'!$A:$A, "&lt;"&amp;DATE(2028, 11, 1))&gt;0, SUMIFS('Gastos e Ingresos 2028'!$E:$E, 'Gastos e Ingresos 2028'!$D:$D, "Gasto", 'Gastos e Ingresos 2028'!$C:$C, G$2, 'Gastos e Ingresos 2028'!$A:$A, "&gt;="&amp;DATE(2028, 10, 1), 'Gastos e Ingresos 2028'!$A:$A, "&lt;"&amp;DATE(2028, 11, 1)), "")</f>
        <v/>
      </c>
      <c r="H12" s="75">
        <f>IF(COUNTIFS('Gastos e Ingresos 2028'!$A:$A, "&gt;="&amp;DATE(2028, 10, 1), 'Gastos e Ingresos 2028'!$A:$A, "&lt;"&amp;DATE(2028, 11, 1))&gt;0, SUMIFS('Gastos e Ingresos 2028'!$E:$E, 'Gastos e Ingresos 2028'!$D:$D, "Gasto", 'Gastos e Ingresos 2028'!$C:$C, H$2, 'Gastos e Ingresos 2028'!$A:$A, "&gt;="&amp;DATE(2028, 10, 1), 'Gastos e Ingresos 2028'!$A:$A, "&lt;"&amp;DATE(2028, 11, 1)), "")</f>
        <v/>
      </c>
      <c r="I12" s="75">
        <f>IF(COUNTIFS('Gastos e Ingresos 2028'!$A:$A, "&gt;="&amp;DATE(2028, 10, 1), 'Gastos e Ingresos 2028'!$A:$A, "&lt;"&amp;DATE(2028, 11, 1))&gt;0, SUMIFS('Gastos e Ingresos 2028'!$E:$E, 'Gastos e Ingresos 2028'!$D:$D, "Gasto", 'Gastos e Ingresos 2028'!$C:$C, I$2, 'Gastos e Ingresos 2028'!$A:$A, "&gt;="&amp;DATE(2028, 10, 1), 'Gastos e Ingresos 2028'!$A:$A, "&lt;"&amp;DATE(2028, 11, 1)), "")</f>
        <v/>
      </c>
      <c r="J12" s="75">
        <f>IF(COUNTIFS('Gastos e Ingresos 2028'!$A:$A, "&gt;="&amp;DATE(2028, 10, 1), 'Gastos e Ingresos 2028'!$A:$A, "&lt;"&amp;DATE(2028, 11, 1))&gt;0, SUMIFS('Gastos e Ingresos 2028'!$E:$E, 'Gastos e Ingresos 2028'!$D:$D, "Gasto", 'Gastos e Ingresos 2028'!$C:$C, J$2, 'Gastos e Ingresos 2028'!$A:$A, "&gt;="&amp;DATE(2028, 10, 1), 'Gastos e Ingresos 2028'!$A:$A, "&lt;"&amp;DATE(2028, 11, 1)), "")</f>
        <v/>
      </c>
      <c r="K12" s="75">
        <f>IF(COUNTIFS('Gastos e Ingresos 2028'!$A:$A, "&gt;="&amp;DATE(2028, 10, 1), 'Gastos e Ingresos 2028'!$A:$A, "&lt;"&amp;DATE(2028, 11, 1))&gt;0, SUMIFS('Gastos e Ingresos 2028'!$E:$E, 'Gastos e Ingresos 2028'!$D:$D, "Gasto", 'Gastos e Ingresos 2028'!$C:$C, K$2, 'Gastos e Ingresos 2028'!$A:$A, "&gt;="&amp;DATE(2028, 10, 1), 'Gastos e Ingresos 2028'!$A:$A, "&lt;"&amp;DATE(2028, 11, 1)), "")</f>
        <v/>
      </c>
      <c r="L12" s="75">
        <f>IF(COUNTIFS('Gastos e Ingresos 2028'!$A:$A, "&gt;="&amp;DATE(2028, 10, 1), 'Gastos e Ingresos 2028'!$A:$A, "&lt;"&amp;DATE(2028, 11, 1))&gt;0, SUMIFS('Gastos e Ingresos 2028'!$E:$E, 'Gastos e Ingresos 2028'!$D:$D, "Gasto", 'Gastos e Ingresos 2028'!$C:$C, L$2, 'Gastos e Ingresos 2028'!$A:$A, "&gt;="&amp;DATE(2028, 10, 1), 'Gastos e Ingresos 2028'!$A:$A, "&lt;"&amp;DATE(2028, 11, 1)), "")</f>
        <v/>
      </c>
      <c r="M12" s="75">
        <f>IF(COUNTIFS('Gastos e Ingresos 2028'!$A:$A, "&gt;="&amp;DATE(2028, 10, 1), 'Gastos e Ingresos 2028'!$A:$A, "&lt;"&amp;DATE(2028, 11, 1))&gt;0, SUMIFS('Gastos e Ingresos 2028'!$E:$E, 'Gastos e Ingresos 2028'!$D:$D, "Gasto", 'Gastos e Ingresos 2028'!$C:$C, M$2, 'Gastos e Ingresos 2028'!$A:$A, "&gt;="&amp;DATE(2028, 10, 1), 'Gastos e Ingresos 2028'!$A:$A, "&lt;"&amp;DATE(2028, 11, 1)), "")</f>
        <v/>
      </c>
      <c r="N12" s="75">
        <f>IF(COUNTIFS('Gastos e Ingresos 2028'!$A:$A, "&gt;="&amp;DATE(2028, 10, 1), 'Gastos e Ingresos 2028'!$A:$A, "&lt;"&amp;DATE(2028, 11, 1))&gt;0, SUMIFS('Gastos e Ingresos 2028'!$E:$E, 'Gastos e Ingresos 2028'!$D:$D, "Gasto", 'Gastos e Ingresos 2028'!$C:$C, N$2, 'Gastos e Ingresos 2028'!$A:$A, "&gt;="&amp;DATE(2028, 10, 1), 'Gastos e Ingresos 2028'!$A:$A, "&lt;"&amp;DATE(2028, 11, 1)), "")</f>
        <v/>
      </c>
      <c r="O12" s="75">
        <f>IF(COUNTIFS('Gastos e Ingresos 2028'!$A:$A, "&gt;="&amp;DATE(2028, 10, 1), 'Gastos e Ingresos 2028'!$A:$A, "&lt;"&amp;DATE(2028, 11, 1))&gt;0, SUMIFS('Gastos e Ingresos 2028'!$E:$E, 'Gastos e Ingresos 2028'!$D:$D, "Gasto", 'Gastos e Ingresos 2028'!$C:$C, O$2, 'Gastos e Ingresos 2028'!$A:$A, "&gt;="&amp;DATE(2028, 10, 1), 'Gastos e Ingresos 2028'!$A:$A, "&lt;"&amp;DATE(2028, 11, 1)), "")</f>
        <v/>
      </c>
      <c r="P12" s="75">
        <f>IF(COUNTIFS('Gastos e Ingresos 2028'!$A:$A, "&gt;="&amp;DATE(2028, 10, 1), 'Gastos e Ingresos 2028'!$A:$A, "&lt;"&amp;DATE(2028, 11, 1))&gt;0, SUMIFS('Gastos e Ingresos 2028'!$E:$E, 'Gastos e Ingresos 2028'!$D:$D, "Gasto", 'Gastos e Ingresos 2028'!$C:$C, P$2, 'Gastos e Ingresos 2028'!$A:$A, "&gt;="&amp;DATE(2028, 10, 1), 'Gastos e Ingresos 2028'!$A:$A, "&lt;"&amp;DATE(2028, 11, 1)), "")</f>
        <v/>
      </c>
      <c r="Q12" s="75">
        <f>IF(COUNTIFS('Gastos e Ingresos 2028'!$A:$A, "&gt;="&amp;DATE(2028, 10, 1), 'Gastos e Ingresos 2028'!$A:$A, "&lt;"&amp;DATE(2028, 11, 1))&gt;0, SUMIFS('Gastos e Ingresos 2028'!$E:$E, 'Gastos e Ingresos 2028'!$D:$D, "Gasto", 'Gastos e Ingresos 2028'!$C:$C, Q$2, 'Gastos e Ingresos 2028'!$A:$A, "&gt;="&amp;DATE(2028, 10, 1), 'Gastos e Ingresos 2028'!$A:$A, "&lt;"&amp;DATE(2028, 11, 1)), "")</f>
        <v/>
      </c>
      <c r="R12" s="75">
        <f>IF(COUNTIFS('Gastos e Ingresos 2028'!$A:$A, "&gt;="&amp;DATE(2028, 10, 1), 'Gastos e Ingresos 2028'!$A:$A, "&lt;"&amp;DATE(2028, 11, 1))&gt;0, SUMIFS('Gastos e Ingresos 2028'!$E:$E, 'Gastos e Ingresos 2028'!$D:$D, "Gasto", 'Gastos e Ingresos 2028'!$C:$C, R$2, 'Gastos e Ingresos 2028'!$A:$A, "&gt;="&amp;DATE(2028, 10, 1), 'Gastos e Ingresos 2028'!$A:$A, "&lt;"&amp;DATE(2028, 11, 1)), "")</f>
        <v/>
      </c>
    </row>
    <row r="13" ht="24" customHeight="1" s="18">
      <c r="A13" s="97" t="inlineStr">
        <is>
          <t>Noviembre</t>
        </is>
      </c>
      <c r="B13" s="78">
        <f>IF(COUNTIFS('Gastos e Ingresos 2028'!$A:$A, "&gt;="&amp;DATE(2028, 11, 1), 'Gastos e Ingresos 2028'!$A:$A, "&lt;"&amp;DATE(2028, 12, 1))&gt;0, SUMIFS('Gastos e Ingresos 2028'!$E:$E, 'Gastos e Ingresos 2028'!$D:$D, "Ingreso", 'Gastos e Ingresos 2028'!$A:$A, "&gt;="&amp;DATE(2028, 11, 1), 'Gastos e Ingresos 2028'!$A:$A, "&lt;"&amp;DATE(2028, 12, 1)), "")</f>
        <v/>
      </c>
      <c r="C13" s="78">
        <f>IF(COUNTIFS('Gastos e Ingresos 2028'!$A:$A, "&gt;="&amp;DATE(2028, 11, 1), 'Gastos e Ingresos 2028'!$A:$A, "&lt;"&amp;DATE(2028, 12, 1))&gt;0, SUMIFS('Gastos e Ingresos 2028'!$E:$E, 'Gastos e Ingresos 2028'!$D:$D, "Gasto", 'Gastos e Ingresos 2028'!$A:$A, "&gt;="&amp;DATE(2028, 11, 1), 'Gastos e Ingresos 2028'!$A:$A, "&lt;"&amp;DATE(2028, 12, 1)), "")</f>
        <v/>
      </c>
      <c r="D13" s="83">
        <f>IF(B13="","",B13-C13)</f>
        <v/>
      </c>
      <c r="E13" s="98">
        <f>IF(B13="","",IF(B13&gt;0, D13/B13, 0))</f>
        <v/>
      </c>
      <c r="F13" s="78">
        <f>IF(COUNTIFS('Gastos e Ingresos 2028'!$A:$A, "&gt;="&amp;DATE(2028, 11, 1), 'Gastos e Ingresos 2028'!$A:$A, "&lt;"&amp;DATE(2028, 12, 1))&gt;0, SUMIFS('Gastos e Ingresos 2028'!$E:$E, 'Gastos e Ingresos 2028'!$D:$D, "Gasto", 'Gastos e Ingresos 2028'!$C:$C, F$2, 'Gastos e Ingresos 2028'!$A:$A, "&gt;="&amp;DATE(2028, 11, 1), 'Gastos e Ingresos 2028'!$A:$A, "&lt;"&amp;DATE(2028, 12, 1)), "")</f>
        <v/>
      </c>
      <c r="G13" s="78">
        <f>IF(COUNTIFS('Gastos e Ingresos 2028'!$A:$A, "&gt;="&amp;DATE(2028, 11, 1), 'Gastos e Ingresos 2028'!$A:$A, "&lt;"&amp;DATE(2028, 12, 1))&gt;0, SUMIFS('Gastos e Ingresos 2028'!$E:$E, 'Gastos e Ingresos 2028'!$D:$D, "Gasto", 'Gastos e Ingresos 2028'!$C:$C, G$2, 'Gastos e Ingresos 2028'!$A:$A, "&gt;="&amp;DATE(2028, 11, 1), 'Gastos e Ingresos 2028'!$A:$A, "&lt;"&amp;DATE(2028, 12, 1)), "")</f>
        <v/>
      </c>
      <c r="H13" s="78">
        <f>IF(COUNTIFS('Gastos e Ingresos 2028'!$A:$A, "&gt;="&amp;DATE(2028, 11, 1), 'Gastos e Ingresos 2028'!$A:$A, "&lt;"&amp;DATE(2028, 12, 1))&gt;0, SUMIFS('Gastos e Ingresos 2028'!$E:$E, 'Gastos e Ingresos 2028'!$D:$D, "Gasto", 'Gastos e Ingresos 2028'!$C:$C, H$2, 'Gastos e Ingresos 2028'!$A:$A, "&gt;="&amp;DATE(2028, 11, 1), 'Gastos e Ingresos 2028'!$A:$A, "&lt;"&amp;DATE(2028, 12, 1)), "")</f>
        <v/>
      </c>
      <c r="I13" s="78">
        <f>IF(COUNTIFS('Gastos e Ingresos 2028'!$A:$A, "&gt;="&amp;DATE(2028, 11, 1), 'Gastos e Ingresos 2028'!$A:$A, "&lt;"&amp;DATE(2028, 12, 1))&gt;0, SUMIFS('Gastos e Ingresos 2028'!$E:$E, 'Gastos e Ingresos 2028'!$D:$D, "Gasto", 'Gastos e Ingresos 2028'!$C:$C, I$2, 'Gastos e Ingresos 2028'!$A:$A, "&gt;="&amp;DATE(2028, 11, 1), 'Gastos e Ingresos 2028'!$A:$A, "&lt;"&amp;DATE(2028, 12, 1)), "")</f>
        <v/>
      </c>
      <c r="J13" s="78">
        <f>IF(COUNTIFS('Gastos e Ingresos 2028'!$A:$A, "&gt;="&amp;DATE(2028, 11, 1), 'Gastos e Ingresos 2028'!$A:$A, "&lt;"&amp;DATE(2028, 12, 1))&gt;0, SUMIFS('Gastos e Ingresos 2028'!$E:$E, 'Gastos e Ingresos 2028'!$D:$D, "Gasto", 'Gastos e Ingresos 2028'!$C:$C, J$2, 'Gastos e Ingresos 2028'!$A:$A, "&gt;="&amp;DATE(2028, 11, 1), 'Gastos e Ingresos 2028'!$A:$A, "&lt;"&amp;DATE(2028, 12, 1)), "")</f>
        <v/>
      </c>
      <c r="K13" s="78">
        <f>IF(COUNTIFS('Gastos e Ingresos 2028'!$A:$A, "&gt;="&amp;DATE(2028, 11, 1), 'Gastos e Ingresos 2028'!$A:$A, "&lt;"&amp;DATE(2028, 12, 1))&gt;0, SUMIFS('Gastos e Ingresos 2028'!$E:$E, 'Gastos e Ingresos 2028'!$D:$D, "Gasto", 'Gastos e Ingresos 2028'!$C:$C, K$2, 'Gastos e Ingresos 2028'!$A:$A, "&gt;="&amp;DATE(2028, 11, 1), 'Gastos e Ingresos 2028'!$A:$A, "&lt;"&amp;DATE(2028, 12, 1)), "")</f>
        <v/>
      </c>
      <c r="L13" s="78">
        <f>IF(COUNTIFS('Gastos e Ingresos 2028'!$A:$A, "&gt;="&amp;DATE(2028, 11, 1), 'Gastos e Ingresos 2028'!$A:$A, "&lt;"&amp;DATE(2028, 12, 1))&gt;0, SUMIFS('Gastos e Ingresos 2028'!$E:$E, 'Gastos e Ingresos 2028'!$D:$D, "Gasto", 'Gastos e Ingresos 2028'!$C:$C, L$2, 'Gastos e Ingresos 2028'!$A:$A, "&gt;="&amp;DATE(2028, 11, 1), 'Gastos e Ingresos 2028'!$A:$A, "&lt;"&amp;DATE(2028, 12, 1)), "")</f>
        <v/>
      </c>
      <c r="M13" s="78">
        <f>IF(COUNTIFS('Gastos e Ingresos 2028'!$A:$A, "&gt;="&amp;DATE(2028, 11, 1), 'Gastos e Ingresos 2028'!$A:$A, "&lt;"&amp;DATE(2028, 12, 1))&gt;0, SUMIFS('Gastos e Ingresos 2028'!$E:$E, 'Gastos e Ingresos 2028'!$D:$D, "Gasto", 'Gastos e Ingresos 2028'!$C:$C, M$2, 'Gastos e Ingresos 2028'!$A:$A, "&gt;="&amp;DATE(2028, 11, 1), 'Gastos e Ingresos 2028'!$A:$A, "&lt;"&amp;DATE(2028, 12, 1)), "")</f>
        <v/>
      </c>
      <c r="N13" s="78">
        <f>IF(COUNTIFS('Gastos e Ingresos 2028'!$A:$A, "&gt;="&amp;DATE(2028, 11, 1), 'Gastos e Ingresos 2028'!$A:$A, "&lt;"&amp;DATE(2028, 12, 1))&gt;0, SUMIFS('Gastos e Ingresos 2028'!$E:$E, 'Gastos e Ingresos 2028'!$D:$D, "Gasto", 'Gastos e Ingresos 2028'!$C:$C, N$2, 'Gastos e Ingresos 2028'!$A:$A, "&gt;="&amp;DATE(2028, 11, 1), 'Gastos e Ingresos 2028'!$A:$A, "&lt;"&amp;DATE(2028, 12, 1)), "")</f>
        <v/>
      </c>
      <c r="O13" s="78">
        <f>IF(COUNTIFS('Gastos e Ingresos 2028'!$A:$A, "&gt;="&amp;DATE(2028, 11, 1), 'Gastos e Ingresos 2028'!$A:$A, "&lt;"&amp;DATE(2028, 12, 1))&gt;0, SUMIFS('Gastos e Ingresos 2028'!$E:$E, 'Gastos e Ingresos 2028'!$D:$D, "Gasto", 'Gastos e Ingresos 2028'!$C:$C, O$2, 'Gastos e Ingresos 2028'!$A:$A, "&gt;="&amp;DATE(2028, 11, 1), 'Gastos e Ingresos 2028'!$A:$A, "&lt;"&amp;DATE(2028, 12, 1)), "")</f>
        <v/>
      </c>
      <c r="P13" s="78">
        <f>IF(COUNTIFS('Gastos e Ingresos 2028'!$A:$A, "&gt;="&amp;DATE(2028, 11, 1), 'Gastos e Ingresos 2028'!$A:$A, "&lt;"&amp;DATE(2028, 12, 1))&gt;0, SUMIFS('Gastos e Ingresos 2028'!$E:$E, 'Gastos e Ingresos 2028'!$D:$D, "Gasto", 'Gastos e Ingresos 2028'!$C:$C, P$2, 'Gastos e Ingresos 2028'!$A:$A, "&gt;="&amp;DATE(2028, 11, 1), 'Gastos e Ingresos 2028'!$A:$A, "&lt;"&amp;DATE(2028, 12, 1)), "")</f>
        <v/>
      </c>
      <c r="Q13" s="78">
        <f>IF(COUNTIFS('Gastos e Ingresos 2028'!$A:$A, "&gt;="&amp;DATE(2028, 11, 1), 'Gastos e Ingresos 2028'!$A:$A, "&lt;"&amp;DATE(2028, 12, 1))&gt;0, SUMIFS('Gastos e Ingresos 2028'!$E:$E, 'Gastos e Ingresos 2028'!$D:$D, "Gasto", 'Gastos e Ingresos 2028'!$C:$C, Q$2, 'Gastos e Ingresos 2028'!$A:$A, "&gt;="&amp;DATE(2028, 11, 1), 'Gastos e Ingresos 2028'!$A:$A, "&lt;"&amp;DATE(2028, 12, 1)), "")</f>
        <v/>
      </c>
      <c r="R13" s="78">
        <f>IF(COUNTIFS('Gastos e Ingresos 2028'!$A:$A, "&gt;="&amp;DATE(2028, 11, 1), 'Gastos e Ingresos 2028'!$A:$A, "&lt;"&amp;DATE(2028, 12, 1))&gt;0, SUMIFS('Gastos e Ingresos 2028'!$E:$E, 'Gastos e Ingresos 2028'!$D:$D, "Gasto", 'Gastos e Ingresos 2028'!$C:$C, R$2, 'Gastos e Ingresos 2028'!$A:$A, "&gt;="&amp;DATE(2028, 11, 1), 'Gastos e Ingresos 2028'!$A:$A, "&lt;"&amp;DATE(2028, 12, 1)), "")</f>
        <v/>
      </c>
    </row>
    <row r="14" ht="24" customHeight="1" s="18">
      <c r="A14" s="97" t="inlineStr">
        <is>
          <t>Diciembre</t>
        </is>
      </c>
      <c r="B14" s="78">
        <f>IF(COUNTIFS('Gastos e Ingresos 2028'!$A:$A, "&gt;="&amp;DATE(2028, 12, 1), 'Gastos e Ingresos 2028'!$A:$A, "&lt;"&amp;DATE(2028, 13, 1))&gt;0, SUMIFS('Gastos e Ingresos 2028'!$E:$E, 'Gastos e Ingresos 2028'!$D:$D, "Ingreso", 'Gastos e Ingresos 2028'!$A:$A, "&gt;="&amp;DATE(2028, 12, 1), 'Gastos e Ingresos 2028'!$A:$A, "&lt;"&amp;DATE(2028, 13, 1)), "")</f>
        <v/>
      </c>
      <c r="C14" s="78">
        <f>IF(COUNTIFS('Gastos e Ingresos 2028'!$A:$A, "&gt;="&amp;DATE(2028, 12, 1), 'Gastos e Ingresos 2028'!$A:$A, "&lt;"&amp;DATE(2028, 13, 1))&gt;0, SUMIFS('Gastos e Ingresos 2028'!$E:$E, 'Gastos e Ingresos 2028'!$D:$D, "Gasto", 'Gastos e Ingresos 2028'!$A:$A, "&gt;="&amp;DATE(2028, 12, 1), 'Gastos e Ingresos 2028'!$A:$A, "&lt;"&amp;DATE(2028, 13, 1)), "")</f>
        <v/>
      </c>
      <c r="D14" s="83">
        <f>IF(B14="","",B14-C14)</f>
        <v/>
      </c>
      <c r="E14" s="98">
        <f>IF(B14="","",IF(B14&gt;0, D14/B14, 0))</f>
        <v/>
      </c>
      <c r="F14" s="75">
        <f>IF(COUNTIFS('Gastos e Ingresos 2028'!$A:$A, "&gt;="&amp;DATE(2028, 12, 1), 'Gastos e Ingresos 2028'!$A:$A, "&lt;"&amp;DATE(2028, 13, 1))&gt;0, SUMIFS('Gastos e Ingresos 2028'!$E:$E, 'Gastos e Ingresos 2028'!$D:$D, "Gasto", 'Gastos e Ingresos 2028'!$C:$C, F$2, 'Gastos e Ingresos 2028'!$A:$A, "&gt;="&amp;DATE(2028, 12, 1), 'Gastos e Ingresos 2028'!$A:$A, "&lt;"&amp;DATE(2028, 13, 1)), "")</f>
        <v/>
      </c>
      <c r="G14" s="75">
        <f>IF(COUNTIFS('Gastos e Ingresos 2028'!$A:$A, "&gt;="&amp;DATE(2028, 12, 1), 'Gastos e Ingresos 2028'!$A:$A, "&lt;"&amp;DATE(2028, 13, 1))&gt;0, SUMIFS('Gastos e Ingresos 2028'!$E:$E, 'Gastos e Ingresos 2028'!$D:$D, "Gasto", 'Gastos e Ingresos 2028'!$C:$C, G$2, 'Gastos e Ingresos 2028'!$A:$A, "&gt;="&amp;DATE(2028, 12, 1), 'Gastos e Ingresos 2028'!$A:$A, "&lt;"&amp;DATE(2028, 13, 1)), "")</f>
        <v/>
      </c>
      <c r="H14" s="75">
        <f>IF(COUNTIFS('Gastos e Ingresos 2028'!$A:$A, "&gt;="&amp;DATE(2028, 12, 1), 'Gastos e Ingresos 2028'!$A:$A, "&lt;"&amp;DATE(2028, 13, 1))&gt;0, SUMIFS('Gastos e Ingresos 2028'!$E:$E, 'Gastos e Ingresos 2028'!$D:$D, "Gasto", 'Gastos e Ingresos 2028'!$C:$C, H$2, 'Gastos e Ingresos 2028'!$A:$A, "&gt;="&amp;DATE(2028, 12, 1), 'Gastos e Ingresos 2028'!$A:$A, "&lt;"&amp;DATE(2028, 13, 1)), "")</f>
        <v/>
      </c>
      <c r="I14" s="75">
        <f>IF(COUNTIFS('Gastos e Ingresos 2028'!$A:$A, "&gt;="&amp;DATE(2028, 12, 1), 'Gastos e Ingresos 2028'!$A:$A, "&lt;"&amp;DATE(2028, 13, 1))&gt;0, SUMIFS('Gastos e Ingresos 2028'!$E:$E, 'Gastos e Ingresos 2028'!$D:$D, "Gasto", 'Gastos e Ingresos 2028'!$C:$C, I$2, 'Gastos e Ingresos 2028'!$A:$A, "&gt;="&amp;DATE(2028, 12, 1), 'Gastos e Ingresos 2028'!$A:$A, "&lt;"&amp;DATE(2028, 13, 1)), "")</f>
        <v/>
      </c>
      <c r="J14" s="75">
        <f>IF(COUNTIFS('Gastos e Ingresos 2028'!$A:$A, "&gt;="&amp;DATE(2028, 12, 1), 'Gastos e Ingresos 2028'!$A:$A, "&lt;"&amp;DATE(2028, 13, 1))&gt;0, SUMIFS('Gastos e Ingresos 2028'!$E:$E, 'Gastos e Ingresos 2028'!$D:$D, "Gasto", 'Gastos e Ingresos 2028'!$C:$C, J$2, 'Gastos e Ingresos 2028'!$A:$A, "&gt;="&amp;DATE(2028, 12, 1), 'Gastos e Ingresos 2028'!$A:$A, "&lt;"&amp;DATE(2028, 13, 1)), "")</f>
        <v/>
      </c>
      <c r="K14" s="75">
        <f>IF(COUNTIFS('Gastos e Ingresos 2028'!$A:$A, "&gt;="&amp;DATE(2028, 12, 1), 'Gastos e Ingresos 2028'!$A:$A, "&lt;"&amp;DATE(2028, 13, 1))&gt;0, SUMIFS('Gastos e Ingresos 2028'!$E:$E, 'Gastos e Ingresos 2028'!$D:$D, "Gasto", 'Gastos e Ingresos 2028'!$C:$C, K$2, 'Gastos e Ingresos 2028'!$A:$A, "&gt;="&amp;DATE(2028, 12, 1), 'Gastos e Ingresos 2028'!$A:$A, "&lt;"&amp;DATE(2028, 13, 1)), "")</f>
        <v/>
      </c>
      <c r="L14" s="75">
        <f>IF(COUNTIFS('Gastos e Ingresos 2028'!$A:$A, "&gt;="&amp;DATE(2028, 12, 1), 'Gastos e Ingresos 2028'!$A:$A, "&lt;"&amp;DATE(2028, 13, 1))&gt;0, SUMIFS('Gastos e Ingresos 2028'!$E:$E, 'Gastos e Ingresos 2028'!$D:$D, "Gasto", 'Gastos e Ingresos 2028'!$C:$C, L$2, 'Gastos e Ingresos 2028'!$A:$A, "&gt;="&amp;DATE(2028, 12, 1), 'Gastos e Ingresos 2028'!$A:$A, "&lt;"&amp;DATE(2028, 13, 1)), "")</f>
        <v/>
      </c>
      <c r="M14" s="75">
        <f>IF(COUNTIFS('Gastos e Ingresos 2028'!$A:$A, "&gt;="&amp;DATE(2028, 12, 1), 'Gastos e Ingresos 2028'!$A:$A, "&lt;"&amp;DATE(2028, 13, 1))&gt;0, SUMIFS('Gastos e Ingresos 2028'!$E:$E, 'Gastos e Ingresos 2028'!$D:$D, "Gasto", 'Gastos e Ingresos 2028'!$C:$C, M$2, 'Gastos e Ingresos 2028'!$A:$A, "&gt;="&amp;DATE(2028, 12, 1), 'Gastos e Ingresos 2028'!$A:$A, "&lt;"&amp;DATE(2028, 13, 1)), "")</f>
        <v/>
      </c>
      <c r="N14" s="75">
        <f>IF(COUNTIFS('Gastos e Ingresos 2028'!$A:$A, "&gt;="&amp;DATE(2028, 12, 1), 'Gastos e Ingresos 2028'!$A:$A, "&lt;"&amp;DATE(2028, 13, 1))&gt;0, SUMIFS('Gastos e Ingresos 2028'!$E:$E, 'Gastos e Ingresos 2028'!$D:$D, "Gasto", 'Gastos e Ingresos 2028'!$C:$C, N$2, 'Gastos e Ingresos 2028'!$A:$A, "&gt;="&amp;DATE(2028, 12, 1), 'Gastos e Ingresos 2028'!$A:$A, "&lt;"&amp;DATE(2028, 13, 1)), "")</f>
        <v/>
      </c>
      <c r="O14" s="75">
        <f>IF(COUNTIFS('Gastos e Ingresos 2028'!$A:$A, "&gt;="&amp;DATE(2028, 12, 1), 'Gastos e Ingresos 2028'!$A:$A, "&lt;"&amp;DATE(2028, 13, 1))&gt;0, SUMIFS('Gastos e Ingresos 2028'!$E:$E, 'Gastos e Ingresos 2028'!$D:$D, "Gasto", 'Gastos e Ingresos 2028'!$C:$C, O$2, 'Gastos e Ingresos 2028'!$A:$A, "&gt;="&amp;DATE(2028, 12, 1), 'Gastos e Ingresos 2028'!$A:$A, "&lt;"&amp;DATE(2028, 13, 1)), "")</f>
        <v/>
      </c>
      <c r="P14" s="75">
        <f>IF(COUNTIFS('Gastos e Ingresos 2028'!$A:$A, "&gt;="&amp;DATE(2028, 12, 1), 'Gastos e Ingresos 2028'!$A:$A, "&lt;"&amp;DATE(2028, 13, 1))&gt;0, SUMIFS('Gastos e Ingresos 2028'!$E:$E, 'Gastos e Ingresos 2028'!$D:$D, "Gasto", 'Gastos e Ingresos 2028'!$C:$C, P$2, 'Gastos e Ingresos 2028'!$A:$A, "&gt;="&amp;DATE(2028, 12, 1), 'Gastos e Ingresos 2028'!$A:$A, "&lt;"&amp;DATE(2028, 13, 1)), "")</f>
        <v/>
      </c>
      <c r="Q14" s="75">
        <f>IF(COUNTIFS('Gastos e Ingresos 2028'!$A:$A, "&gt;="&amp;DATE(2028, 12, 1), 'Gastos e Ingresos 2028'!$A:$A, "&lt;"&amp;DATE(2028, 13, 1))&gt;0, SUMIFS('Gastos e Ingresos 2028'!$E:$E, 'Gastos e Ingresos 2028'!$D:$D, "Gasto", 'Gastos e Ingresos 2028'!$C:$C, Q$2, 'Gastos e Ingresos 2028'!$A:$A, "&gt;="&amp;DATE(2028, 12, 1), 'Gastos e Ingresos 2028'!$A:$A, "&lt;"&amp;DATE(2028, 13, 1)), "")</f>
        <v/>
      </c>
      <c r="R14" s="75">
        <f>IF(COUNTIFS('Gastos e Ingresos 2028'!$A:$A, "&gt;="&amp;DATE(2028, 12, 1), 'Gastos e Ingresos 2028'!$A:$A, "&lt;"&amp;DATE(2028, 13, 1))&gt;0, SUMIFS('Gastos e Ingresos 2028'!$E:$E, 'Gastos e Ingresos 2028'!$D:$D, "Gasto", 'Gastos e Ingresos 2028'!$C:$C, R$2, 'Gastos e Ingresos 2028'!$A:$A, "&gt;="&amp;DATE(2028, 12, 1), 'Gastos e Ingresos 2028'!$A:$A, "&lt;"&amp;DATE(2028, 13, 1)), "")</f>
        <v/>
      </c>
    </row>
    <row r="15" ht="26" customHeight="1" s="18">
      <c r="A15" s="99" t="inlineStr">
        <is>
          <t>Total Anual</t>
        </is>
      </c>
      <c r="B15" s="86">
        <f>SUM(B3:B14)</f>
        <v/>
      </c>
      <c r="C15" s="86">
        <f>SUM(C3:C14)</f>
        <v/>
      </c>
      <c r="D15" s="86">
        <f>B15-C15</f>
        <v/>
      </c>
      <c r="E15" s="100">
        <f>IF(B15&gt;0, D15/B15, 0)</f>
        <v/>
      </c>
      <c r="F15" s="86">
        <f>SUM(F3:F14)</f>
        <v/>
      </c>
      <c r="G15" s="86">
        <f>SUM(G3:G14)</f>
        <v/>
      </c>
      <c r="H15" s="86">
        <f>SUM(H3:H14)</f>
        <v/>
      </c>
      <c r="I15" s="86">
        <f>SUM(I3:I14)</f>
        <v/>
      </c>
      <c r="J15" s="86">
        <f>SUM(J3:J14)</f>
        <v/>
      </c>
      <c r="K15" s="86">
        <f>SUM(K3:K14)</f>
        <v/>
      </c>
      <c r="L15" s="86">
        <f>SUM(L3:L14)</f>
        <v/>
      </c>
      <c r="M15" s="86">
        <f>SUM(M3:M14)</f>
        <v/>
      </c>
      <c r="N15" s="86">
        <f>SUM(N3:N14)</f>
        <v/>
      </c>
      <c r="O15" s="86">
        <f>SUM(O3:O14)</f>
        <v/>
      </c>
      <c r="P15" s="86">
        <f>SUM(P3:P14)</f>
        <v/>
      </c>
      <c r="Q15" s="86">
        <f>SUM(Q3:Q14)</f>
        <v/>
      </c>
      <c r="R15" s="86">
        <f>SUM(R3:R14)</f>
        <v/>
      </c>
    </row>
  </sheetData>
  <conditionalFormatting sqref="D3:D14">
    <cfRule type="cellIs" priority="1" operator="greaterThanOrEqual" dxfId="7">
      <formula>0</formula>
    </cfRule>
    <cfRule type="cellIs" priority="2" operator="lessThan" dxfId="8">
      <formula>0</formula>
    </cfRule>
    <cfRule type="cellIs" priority="1" operator="greaterThanOrEqual" dxfId="7">
      <formula>0</formula>
    </cfRule>
    <cfRule type="cellIs" priority="2" operator="lessThan" dxfId="8">
      <formula>0</formula>
    </cfRule>
  </conditionalFormatting>
  <conditionalFormatting sqref="D15">
    <cfRule type="cellIs" priority="1" operator="greaterThanOrEqual" dxfId="7">
      <formula>0</formula>
    </cfRule>
    <cfRule type="cellIs" priority="2" operator="lessThan" dxfId="8">
      <formula>0</formula>
    </cfRule>
    <cfRule type="cellIs" priority="1" operator="greaterThanOrEqual" dxfId="7">
      <formula>0</formula>
    </cfRule>
    <cfRule type="cellIs" priority="2" operator="lessThan" dxfId="8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9"/>
  <sheetViews>
    <sheetView showGridLines="1" workbookViewId="0">
      <selection activeCell="A1" sqref="A1"/>
    </sheetView>
  </sheetViews>
  <sheetFormatPr baseColWidth="8" defaultRowHeight="15" outlineLevelCol="0"/>
  <cols>
    <col width="18" customWidth="1" style="18" min="1" max="1"/>
    <col width="32" customWidth="1" style="18" min="2" max="2"/>
    <col width="24" customWidth="1" style="18" min="3" max="3"/>
    <col width="16" customWidth="1" style="18" min="4" max="4"/>
    <col width="20" customWidth="1" style="18" min="5" max="5"/>
  </cols>
  <sheetData>
    <row r="1" ht="30" customHeight="1" s="18">
      <c r="A1" s="65" t="inlineStr">
        <is>
          <t>Fecha</t>
        </is>
      </c>
      <c r="B1" s="65" t="inlineStr">
        <is>
          <t>Descripción</t>
        </is>
      </c>
      <c r="C1" s="65" t="inlineStr">
        <is>
          <t>Categoría</t>
        </is>
      </c>
      <c r="D1" s="65" t="inlineStr">
        <is>
          <t>Tipo</t>
        </is>
      </c>
      <c r="E1" s="65" t="inlineStr">
        <is>
          <t>Importe (€)</t>
        </is>
      </c>
    </row>
    <row r="2" ht="25" customHeight="1" s="18">
      <c r="A2" s="101" t="n"/>
      <c r="B2" s="89" t="n"/>
      <c r="C2" s="74" t="n"/>
      <c r="D2" s="74" t="n"/>
      <c r="E2" s="75" t="n"/>
    </row>
    <row r="3" ht="25" customHeight="1" s="18">
      <c r="A3" s="102" t="n"/>
      <c r="B3" s="66" t="n"/>
      <c r="C3" s="77" t="n"/>
      <c r="D3" s="77" t="n"/>
      <c r="E3" s="78" t="n"/>
    </row>
    <row r="4" ht="25" customHeight="1" s="18">
      <c r="A4" s="101" t="n"/>
      <c r="B4" s="89" t="n"/>
      <c r="C4" s="74" t="n"/>
      <c r="D4" s="74" t="n"/>
      <c r="E4" s="75" t="n"/>
    </row>
    <row r="5" ht="25" customHeight="1" s="18">
      <c r="A5" s="102" t="n"/>
      <c r="B5" s="66" t="n"/>
      <c r="C5" s="77" t="n"/>
      <c r="D5" s="77" t="n"/>
      <c r="E5" s="78" t="n"/>
    </row>
    <row r="6" ht="25" customHeight="1" s="18">
      <c r="A6" s="101" t="n"/>
      <c r="B6" s="89" t="n"/>
      <c r="C6" s="74" t="n"/>
      <c r="D6" s="74" t="n"/>
      <c r="E6" s="75" t="n"/>
    </row>
    <row r="7" ht="25" customHeight="1" s="18">
      <c r="A7" s="102" t="n"/>
      <c r="B7" s="66" t="n"/>
      <c r="C7" s="77" t="n"/>
      <c r="D7" s="77" t="n"/>
      <c r="E7" s="78" t="n"/>
    </row>
    <row r="8" ht="25" customHeight="1" s="18">
      <c r="A8" s="101" t="n"/>
      <c r="B8" s="89" t="n"/>
      <c r="C8" s="74" t="n"/>
      <c r="D8" s="74" t="n"/>
      <c r="E8" s="75" t="n"/>
    </row>
    <row r="9" ht="25" customHeight="1" s="18">
      <c r="A9" s="102" t="n"/>
      <c r="B9" s="66" t="n"/>
      <c r="C9" s="77" t="n"/>
      <c r="D9" s="77" t="n"/>
      <c r="E9" s="78" t="n"/>
    </row>
    <row r="10" ht="25" customHeight="1" s="18">
      <c r="A10" s="101" t="n"/>
      <c r="B10" s="89" t="n"/>
      <c r="C10" s="74" t="n"/>
      <c r="D10" s="74" t="n"/>
      <c r="E10" s="75" t="n"/>
    </row>
    <row r="11" ht="25" customHeight="1" s="18">
      <c r="A11" s="102" t="n"/>
      <c r="B11" s="66" t="n"/>
      <c r="C11" s="77" t="n"/>
      <c r="D11" s="77" t="n"/>
      <c r="E11" s="78" t="n"/>
    </row>
    <row r="12" ht="25" customHeight="1" s="18">
      <c r="A12" s="101" t="n"/>
      <c r="B12" s="89" t="n"/>
      <c r="C12" s="74" t="n"/>
      <c r="D12" s="74" t="n"/>
      <c r="E12" s="75" t="n"/>
    </row>
    <row r="13" ht="25" customHeight="1" s="18">
      <c r="A13" s="102" t="n"/>
      <c r="B13" s="66" t="n"/>
      <c r="C13" s="77" t="n"/>
      <c r="D13" s="77" t="n"/>
      <c r="E13" s="78" t="n"/>
    </row>
    <row r="14" ht="25" customHeight="1" s="18">
      <c r="A14" s="101" t="n"/>
      <c r="B14" s="89" t="n"/>
      <c r="C14" s="74" t="n"/>
      <c r="D14" s="74" t="n"/>
      <c r="E14" s="75" t="n"/>
    </row>
    <row r="15" ht="25" customHeight="1" s="18">
      <c r="A15" s="102" t="n"/>
      <c r="B15" s="66" t="n"/>
      <c r="C15" s="77" t="n"/>
      <c r="D15" s="77" t="n"/>
      <c r="E15" s="78" t="n"/>
    </row>
    <row r="16" ht="25" customHeight="1" s="18">
      <c r="A16" s="101" t="n"/>
      <c r="B16" s="89" t="n"/>
      <c r="C16" s="74" t="n"/>
      <c r="D16" s="74" t="n"/>
      <c r="E16" s="75" t="n"/>
    </row>
    <row r="17" ht="25" customHeight="1" s="18">
      <c r="A17" s="102" t="n"/>
      <c r="B17" s="66" t="n"/>
      <c r="C17" s="77" t="n"/>
      <c r="D17" s="77" t="n"/>
      <c r="E17" s="78" t="n"/>
    </row>
    <row r="18" ht="25" customHeight="1" s="18">
      <c r="A18" s="101" t="n"/>
      <c r="B18" s="89" t="n"/>
      <c r="C18" s="74" t="n"/>
      <c r="D18" s="74" t="n"/>
      <c r="E18" s="75" t="n"/>
    </row>
    <row r="19" ht="25" customHeight="1" s="18">
      <c r="A19" s="102" t="n"/>
      <c r="B19" s="66" t="n"/>
      <c r="C19" s="77" t="n"/>
      <c r="D19" s="77" t="n"/>
      <c r="E19" s="78" t="n"/>
    </row>
    <row r="20" ht="25" customHeight="1" s="18">
      <c r="A20" s="101" t="n"/>
      <c r="B20" s="89" t="n"/>
      <c r="C20" s="74" t="n"/>
      <c r="D20" s="74" t="n"/>
      <c r="E20" s="75" t="n"/>
    </row>
    <row r="21" ht="25" customHeight="1" s="18">
      <c r="A21" s="102" t="n"/>
      <c r="B21" s="66" t="n"/>
      <c r="C21" s="77" t="n"/>
      <c r="D21" s="77" t="n"/>
      <c r="E21" s="78" t="n"/>
    </row>
    <row r="22" ht="25" customHeight="1" s="18">
      <c r="A22" s="101" t="n"/>
      <c r="B22" s="89" t="n"/>
      <c r="C22" s="74" t="n"/>
      <c r="D22" s="74" t="n"/>
      <c r="E22" s="75" t="n"/>
    </row>
    <row r="23" ht="25" customHeight="1" s="18">
      <c r="A23" s="102" t="n"/>
      <c r="B23" s="66" t="n"/>
      <c r="C23" s="77" t="n"/>
      <c r="D23" s="77" t="n"/>
      <c r="E23" s="78" t="n"/>
    </row>
    <row r="24" ht="25" customHeight="1" s="18">
      <c r="A24" s="101" t="n"/>
      <c r="B24" s="89" t="n"/>
      <c r="C24" s="74" t="n"/>
      <c r="D24" s="74" t="n"/>
      <c r="E24" s="75" t="n"/>
    </row>
    <row r="25" ht="25" customHeight="1" s="18">
      <c r="A25" s="102" t="n"/>
      <c r="B25" s="66" t="n"/>
      <c r="C25" s="77" t="n"/>
      <c r="D25" s="77" t="n"/>
      <c r="E25" s="78" t="n"/>
    </row>
    <row r="26" ht="25" customHeight="1" s="18">
      <c r="A26" s="101" t="n"/>
      <c r="B26" s="89" t="n"/>
      <c r="C26" s="74" t="n"/>
      <c r="D26" s="74" t="n"/>
      <c r="E26" s="75" t="n"/>
    </row>
    <row r="27" ht="25" customHeight="1" s="18">
      <c r="A27" s="102" t="n"/>
      <c r="B27" s="66" t="n"/>
      <c r="C27" s="77" t="n"/>
      <c r="D27" s="77" t="n"/>
      <c r="E27" s="78" t="n"/>
    </row>
    <row r="28" ht="25" customHeight="1" s="18">
      <c r="A28" s="101" t="n"/>
      <c r="B28" s="89" t="n"/>
      <c r="C28" s="74" t="n"/>
      <c r="D28" s="74" t="n"/>
      <c r="E28" s="75" t="n"/>
    </row>
    <row r="29" ht="25" customHeight="1" s="18">
      <c r="A29" s="102" t="n"/>
      <c r="B29" s="66" t="n"/>
      <c r="C29" s="77" t="n"/>
      <c r="D29" s="77" t="n"/>
      <c r="E29" s="78" t="n"/>
    </row>
    <row r="30" ht="25" customHeight="1" s="18">
      <c r="A30" s="101" t="n"/>
      <c r="B30" s="89" t="n"/>
      <c r="C30" s="74" t="n"/>
      <c r="D30" s="74" t="n"/>
      <c r="E30" s="75" t="n"/>
    </row>
    <row r="31" ht="25" customHeight="1" s="18">
      <c r="A31" s="102" t="n"/>
      <c r="B31" s="66" t="n"/>
      <c r="C31" s="77" t="n"/>
      <c r="D31" s="77" t="n"/>
      <c r="E31" s="78" t="n"/>
    </row>
    <row r="32" ht="25" customHeight="1" s="18">
      <c r="A32" s="101" t="n"/>
      <c r="B32" s="89" t="n"/>
      <c r="C32" s="74" t="n"/>
      <c r="D32" s="74" t="n"/>
      <c r="E32" s="75" t="n"/>
    </row>
    <row r="33" ht="25" customHeight="1" s="18">
      <c r="A33" s="102" t="n"/>
      <c r="B33" s="66" t="n"/>
      <c r="C33" s="77" t="n"/>
      <c r="D33" s="77" t="n"/>
      <c r="E33" s="78" t="n"/>
    </row>
    <row r="34" ht="25" customHeight="1" s="18">
      <c r="A34" s="101" t="n"/>
      <c r="B34" s="89" t="n"/>
      <c r="C34" s="74" t="n"/>
      <c r="D34" s="74" t="n"/>
      <c r="E34" s="75" t="n"/>
    </row>
    <row r="35" ht="25" customHeight="1" s="18">
      <c r="A35" s="102" t="n"/>
      <c r="B35" s="66" t="n"/>
      <c r="C35" s="77" t="n"/>
      <c r="D35" s="77" t="n"/>
      <c r="E35" s="78" t="n"/>
    </row>
    <row r="36" ht="25" customHeight="1" s="18">
      <c r="A36" s="101" t="n"/>
      <c r="B36" s="89" t="n"/>
      <c r="C36" s="74" t="n"/>
      <c r="D36" s="74" t="n"/>
      <c r="E36" s="75" t="n"/>
    </row>
    <row r="37" ht="25" customHeight="1" s="18">
      <c r="A37" s="102" t="n"/>
      <c r="B37" s="66" t="n"/>
      <c r="C37" s="77" t="n"/>
      <c r="D37" s="77" t="n"/>
      <c r="E37" s="78" t="n"/>
    </row>
    <row r="38" ht="25" customHeight="1" s="18">
      <c r="A38" s="101" t="n"/>
      <c r="B38" s="89" t="n"/>
      <c r="C38" s="74" t="n"/>
      <c r="D38" s="74" t="n"/>
      <c r="E38" s="75" t="n"/>
    </row>
    <row r="39" ht="25" customHeight="1" s="18">
      <c r="A39" s="102" t="n"/>
      <c r="B39" s="66" t="n"/>
      <c r="C39" s="77" t="n"/>
      <c r="D39" s="77" t="n"/>
      <c r="E39" s="78" t="n"/>
    </row>
    <row r="40" ht="25" customHeight="1" s="18">
      <c r="A40" s="101" t="n"/>
      <c r="B40" s="89" t="n"/>
      <c r="C40" s="74" t="n"/>
      <c r="D40" s="74" t="n"/>
      <c r="E40" s="75" t="n"/>
    </row>
    <row r="41" ht="25" customHeight="1" s="18">
      <c r="A41" s="102" t="n"/>
      <c r="B41" s="66" t="n"/>
      <c r="C41" s="77" t="n"/>
      <c r="D41" s="77" t="n"/>
      <c r="E41" s="78" t="n"/>
    </row>
    <row r="42" ht="25" customHeight="1" s="18">
      <c r="A42" s="101" t="n"/>
      <c r="B42" s="89" t="n"/>
      <c r="C42" s="74" t="n"/>
      <c r="D42" s="74" t="n"/>
      <c r="E42" s="75" t="n"/>
    </row>
    <row r="43" ht="25" customHeight="1" s="18">
      <c r="A43" s="102" t="n"/>
      <c r="B43" s="66" t="n"/>
      <c r="C43" s="77" t="n"/>
      <c r="D43" s="77" t="n"/>
      <c r="E43" s="78" t="n"/>
    </row>
    <row r="44" ht="25" customHeight="1" s="18">
      <c r="A44" s="101" t="n"/>
      <c r="B44" s="89" t="n"/>
      <c r="C44" s="74" t="n"/>
      <c r="D44" s="74" t="n"/>
      <c r="E44" s="75" t="n"/>
    </row>
    <row r="45" ht="25" customHeight="1" s="18">
      <c r="A45" s="102" t="n"/>
      <c r="B45" s="66" t="n"/>
      <c r="C45" s="77" t="n"/>
      <c r="D45" s="77" t="n"/>
      <c r="E45" s="78" t="n"/>
    </row>
    <row r="46" ht="25" customHeight="1" s="18">
      <c r="A46" s="101" t="n"/>
      <c r="B46" s="89" t="n"/>
      <c r="C46" s="74" t="n"/>
      <c r="D46" s="74" t="n"/>
      <c r="E46" s="75" t="n"/>
    </row>
    <row r="47" ht="25" customHeight="1" s="18">
      <c r="A47" s="102" t="n"/>
      <c r="B47" s="66" t="n"/>
      <c r="C47" s="77" t="n"/>
      <c r="D47" s="77" t="n"/>
      <c r="E47" s="78" t="n"/>
    </row>
    <row r="48" ht="25" customHeight="1" s="18">
      <c r="A48" s="101" t="n"/>
      <c r="B48" s="89" t="n"/>
      <c r="C48" s="74" t="n"/>
      <c r="D48" s="74" t="n"/>
      <c r="E48" s="75" t="n"/>
    </row>
    <row r="49" ht="25" customHeight="1" s="18">
      <c r="A49" s="102" t="n"/>
      <c r="B49" s="66" t="n"/>
      <c r="C49" s="77" t="n"/>
      <c r="D49" s="77" t="n"/>
      <c r="E49" s="78" t="n"/>
    </row>
    <row r="50" ht="25" customHeight="1" s="18">
      <c r="A50" s="101" t="n"/>
      <c r="B50" s="89" t="n"/>
      <c r="C50" s="74" t="n"/>
      <c r="D50" s="74" t="n"/>
      <c r="E50" s="75" t="n"/>
    </row>
    <row r="51" ht="25" customHeight="1" s="18">
      <c r="A51" s="102" t="n"/>
      <c r="B51" s="66" t="n"/>
      <c r="C51" s="77" t="n"/>
      <c r="D51" s="77" t="n"/>
      <c r="E51" s="78" t="n"/>
    </row>
    <row r="52" ht="25" customHeight="1" s="18">
      <c r="A52" s="101" t="n"/>
      <c r="B52" s="89" t="n"/>
      <c r="C52" s="74" t="n"/>
      <c r="D52" s="74" t="n"/>
      <c r="E52" s="75" t="n"/>
    </row>
    <row r="53" ht="25" customHeight="1" s="18">
      <c r="A53" s="102" t="n"/>
      <c r="B53" s="66" t="n"/>
      <c r="C53" s="77" t="n"/>
      <c r="D53" s="77" t="n"/>
      <c r="E53" s="78" t="n"/>
    </row>
    <row r="54" ht="25" customHeight="1" s="18">
      <c r="A54" s="101" t="n"/>
      <c r="B54" s="89" t="n"/>
      <c r="C54" s="74" t="n"/>
      <c r="D54" s="74" t="n"/>
      <c r="E54" s="75" t="n"/>
    </row>
    <row r="55" ht="25" customHeight="1" s="18">
      <c r="A55" s="102" t="n"/>
      <c r="B55" s="66" t="n"/>
      <c r="C55" s="77" t="n"/>
      <c r="D55" s="77" t="n"/>
      <c r="E55" s="78" t="n"/>
    </row>
    <row r="56" ht="25" customHeight="1" s="18">
      <c r="A56" s="101" t="n"/>
      <c r="B56" s="89" t="n"/>
      <c r="C56" s="74" t="n"/>
      <c r="D56" s="74" t="n"/>
      <c r="E56" s="75" t="n"/>
    </row>
    <row r="57" ht="25" customHeight="1" s="18">
      <c r="A57" s="102" t="n"/>
      <c r="B57" s="66" t="n"/>
      <c r="C57" s="77" t="n"/>
      <c r="D57" s="77" t="n"/>
      <c r="E57" s="78" t="n"/>
    </row>
    <row r="58" ht="25" customHeight="1" s="18">
      <c r="A58" s="101" t="n"/>
      <c r="B58" s="89" t="n"/>
      <c r="C58" s="74" t="n"/>
      <c r="D58" s="74" t="n"/>
      <c r="E58" s="75" t="n"/>
    </row>
    <row r="59" ht="25" customHeight="1" s="18">
      <c r="A59" s="102" t="n"/>
      <c r="B59" s="66" t="n"/>
      <c r="C59" s="77" t="n"/>
      <c r="D59" s="77" t="n"/>
      <c r="E59" s="78" t="n"/>
    </row>
    <row r="60" ht="25" customHeight="1" s="18">
      <c r="A60" s="101" t="n"/>
      <c r="B60" s="89" t="n"/>
      <c r="C60" s="74" t="n"/>
      <c r="D60" s="74" t="n"/>
      <c r="E60" s="75" t="n"/>
    </row>
    <row r="61" ht="25" customHeight="1" s="18">
      <c r="A61" s="102" t="n"/>
      <c r="B61" s="66" t="n"/>
      <c r="C61" s="77" t="n"/>
      <c r="D61" s="77" t="n"/>
      <c r="E61" s="78" t="n"/>
    </row>
    <row r="62" ht="25" customHeight="1" s="18">
      <c r="A62" s="101" t="n"/>
      <c r="B62" s="89" t="n"/>
      <c r="C62" s="74" t="n"/>
      <c r="D62" s="74" t="n"/>
      <c r="E62" s="75" t="n"/>
    </row>
    <row r="63" ht="25" customHeight="1" s="18">
      <c r="A63" s="102" t="n"/>
      <c r="B63" s="66" t="n"/>
      <c r="C63" s="77" t="n"/>
      <c r="D63" s="77" t="n"/>
      <c r="E63" s="78" t="n"/>
    </row>
    <row r="64" ht="25" customHeight="1" s="18">
      <c r="A64" s="101" t="n"/>
      <c r="B64" s="89" t="n"/>
      <c r="C64" s="74" t="n"/>
      <c r="D64" s="74" t="n"/>
      <c r="E64" s="75" t="n"/>
    </row>
    <row r="65" ht="25" customHeight="1" s="18">
      <c r="A65" s="102" t="n"/>
      <c r="B65" s="66" t="n"/>
      <c r="C65" s="77" t="n"/>
      <c r="D65" s="77" t="n"/>
      <c r="E65" s="78" t="n"/>
    </row>
    <row r="66" ht="25" customHeight="1" s="18">
      <c r="A66" s="101" t="n"/>
      <c r="B66" s="89" t="n"/>
      <c r="C66" s="74" t="n"/>
      <c r="D66" s="74" t="n"/>
      <c r="E66" s="75" t="n"/>
    </row>
    <row r="67" ht="25" customHeight="1" s="18">
      <c r="A67" s="102" t="n"/>
      <c r="B67" s="66" t="n"/>
      <c r="C67" s="77" t="n"/>
      <c r="D67" s="77" t="n"/>
      <c r="E67" s="78" t="n"/>
    </row>
    <row r="68" ht="25" customHeight="1" s="18">
      <c r="A68" s="101" t="n"/>
      <c r="B68" s="89" t="n"/>
      <c r="C68" s="74" t="n"/>
      <c r="D68" s="74" t="n"/>
      <c r="E68" s="75" t="n"/>
    </row>
    <row r="69" ht="25" customHeight="1" s="18">
      <c r="A69" s="102" t="n"/>
      <c r="B69" s="66" t="n"/>
      <c r="C69" s="77" t="n"/>
      <c r="D69" s="77" t="n"/>
      <c r="E69" s="78" t="n"/>
    </row>
    <row r="70" ht="25" customHeight="1" s="18">
      <c r="A70" s="101" t="n"/>
      <c r="B70" s="89" t="n"/>
      <c r="C70" s="74" t="n"/>
      <c r="D70" s="74" t="n"/>
      <c r="E70" s="75" t="n"/>
    </row>
    <row r="71" ht="25" customHeight="1" s="18">
      <c r="A71" s="102" t="n"/>
      <c r="B71" s="66" t="n"/>
      <c r="C71" s="77" t="n"/>
      <c r="D71" s="77" t="n"/>
      <c r="E71" s="78" t="n"/>
    </row>
    <row r="72" ht="25" customHeight="1" s="18">
      <c r="A72" s="101" t="n"/>
      <c r="B72" s="89" t="n"/>
      <c r="C72" s="74" t="n"/>
      <c r="D72" s="74" t="n"/>
      <c r="E72" s="75" t="n"/>
    </row>
    <row r="73" ht="25" customHeight="1" s="18">
      <c r="A73" s="102" t="n"/>
      <c r="B73" s="66" t="n"/>
      <c r="C73" s="77" t="n"/>
      <c r="D73" s="77" t="n"/>
      <c r="E73" s="78" t="n"/>
    </row>
    <row r="74" ht="25" customHeight="1" s="18">
      <c r="A74" s="101" t="n"/>
      <c r="B74" s="89" t="n"/>
      <c r="C74" s="74" t="n"/>
      <c r="D74" s="74" t="n"/>
      <c r="E74" s="75" t="n"/>
    </row>
    <row r="75" ht="25" customHeight="1" s="18">
      <c r="A75" s="102" t="n"/>
      <c r="B75" s="66" t="n"/>
      <c r="C75" s="77" t="n"/>
      <c r="D75" s="77" t="n"/>
      <c r="E75" s="78" t="n"/>
    </row>
    <row r="76" ht="25" customHeight="1" s="18">
      <c r="A76" s="101" t="n"/>
      <c r="B76" s="89" t="n"/>
      <c r="C76" s="74" t="n"/>
      <c r="D76" s="74" t="n"/>
      <c r="E76" s="75" t="n"/>
    </row>
    <row r="77" ht="25" customHeight="1" s="18">
      <c r="A77" s="102" t="n"/>
      <c r="B77" s="66" t="n"/>
      <c r="C77" s="77" t="n"/>
      <c r="D77" s="77" t="n"/>
      <c r="E77" s="78" t="n"/>
    </row>
    <row r="78" ht="25" customHeight="1" s="18">
      <c r="A78" s="101" t="n"/>
      <c r="B78" s="89" t="n"/>
      <c r="C78" s="74" t="n"/>
      <c r="D78" s="74" t="n"/>
      <c r="E78" s="75" t="n"/>
    </row>
    <row r="79" ht="25" customHeight="1" s="18">
      <c r="A79" s="102" t="n"/>
      <c r="B79" s="66" t="n"/>
      <c r="C79" s="77" t="n"/>
      <c r="D79" s="77" t="n"/>
      <c r="E79" s="78" t="n"/>
    </row>
    <row r="80" ht="25" customHeight="1" s="18">
      <c r="A80" s="101" t="n"/>
      <c r="B80" s="89" t="n"/>
      <c r="C80" s="74" t="n"/>
      <c r="D80" s="74" t="n"/>
      <c r="E80" s="75" t="n"/>
    </row>
    <row r="81" ht="25" customHeight="1" s="18">
      <c r="A81" s="102" t="n"/>
      <c r="B81" s="66" t="n"/>
      <c r="C81" s="77" t="n"/>
      <c r="D81" s="77" t="n"/>
      <c r="E81" s="78" t="n"/>
    </row>
    <row r="82" ht="25" customHeight="1" s="18">
      <c r="A82" s="101" t="n"/>
      <c r="B82" s="89" t="n"/>
      <c r="C82" s="74" t="n"/>
      <c r="D82" s="74" t="n"/>
      <c r="E82" s="75" t="n"/>
    </row>
    <row r="83" ht="25" customHeight="1" s="18">
      <c r="A83" s="102" t="n"/>
      <c r="B83" s="66" t="n"/>
      <c r="C83" s="77" t="n"/>
      <c r="D83" s="77" t="n"/>
      <c r="E83" s="78" t="n"/>
    </row>
    <row r="84" ht="25" customHeight="1" s="18">
      <c r="A84" s="101" t="n"/>
      <c r="B84" s="89" t="n"/>
      <c r="C84" s="74" t="n"/>
      <c r="D84" s="74" t="n"/>
      <c r="E84" s="75" t="n"/>
    </row>
    <row r="85" ht="25" customHeight="1" s="18">
      <c r="A85" s="102" t="n"/>
      <c r="B85" s="66" t="n"/>
      <c r="C85" s="77" t="n"/>
      <c r="D85" s="77" t="n"/>
      <c r="E85" s="78" t="n"/>
    </row>
    <row r="86" ht="25" customHeight="1" s="18">
      <c r="A86" s="101" t="n"/>
      <c r="B86" s="89" t="n"/>
      <c r="C86" s="74" t="n"/>
      <c r="D86" s="74" t="n"/>
      <c r="E86" s="75" t="n"/>
    </row>
    <row r="87" ht="25" customHeight="1" s="18">
      <c r="A87" s="102" t="n"/>
      <c r="B87" s="66" t="n"/>
      <c r="C87" s="77" t="n"/>
      <c r="D87" s="77" t="n"/>
      <c r="E87" s="78" t="n"/>
    </row>
    <row r="88" ht="25" customHeight="1" s="18">
      <c r="A88" s="101" t="n"/>
      <c r="B88" s="89" t="n"/>
      <c r="C88" s="74" t="n"/>
      <c r="D88" s="74" t="n"/>
      <c r="E88" s="75" t="n"/>
    </row>
    <row r="89" ht="25" customHeight="1" s="18">
      <c r="A89" s="102" t="n"/>
      <c r="B89" s="66" t="n"/>
      <c r="C89" s="77" t="n"/>
      <c r="D89" s="77" t="n"/>
      <c r="E89" s="78" t="n"/>
    </row>
    <row r="90" ht="25" customHeight="1" s="18">
      <c r="A90" s="101" t="n"/>
      <c r="B90" s="89" t="n"/>
      <c r="C90" s="74" t="n"/>
      <c r="D90" s="74" t="n"/>
      <c r="E90" s="75" t="n"/>
    </row>
    <row r="91" ht="25" customHeight="1" s="18">
      <c r="A91" s="102" t="n"/>
      <c r="B91" s="66" t="n"/>
      <c r="C91" s="77" t="n"/>
      <c r="D91" s="77" t="n"/>
      <c r="E91" s="78" t="n"/>
    </row>
    <row r="92" ht="25" customHeight="1" s="18">
      <c r="A92" s="101" t="n"/>
      <c r="B92" s="89" t="n"/>
      <c r="C92" s="74" t="n"/>
      <c r="D92" s="74" t="n"/>
      <c r="E92" s="75" t="n"/>
    </row>
    <row r="93" ht="25" customHeight="1" s="18">
      <c r="A93" s="102" t="n"/>
      <c r="B93" s="66" t="n"/>
      <c r="C93" s="77" t="n"/>
      <c r="D93" s="77" t="n"/>
      <c r="E93" s="78" t="n"/>
    </row>
    <row r="94" ht="25" customHeight="1" s="18">
      <c r="A94" s="101" t="n"/>
      <c r="B94" s="89" t="n"/>
      <c r="C94" s="74" t="n"/>
      <c r="D94" s="74" t="n"/>
      <c r="E94" s="75" t="n"/>
    </row>
    <row r="95" ht="25" customHeight="1" s="18">
      <c r="A95" s="102" t="n"/>
      <c r="B95" s="66" t="n"/>
      <c r="C95" s="77" t="n"/>
      <c r="D95" s="77" t="n"/>
      <c r="E95" s="78" t="n"/>
    </row>
    <row r="96" ht="25" customHeight="1" s="18">
      <c r="A96" s="101" t="n"/>
      <c r="B96" s="89" t="n"/>
      <c r="C96" s="74" t="n"/>
      <c r="D96" s="74" t="n"/>
      <c r="E96" s="75" t="n"/>
    </row>
    <row r="97" ht="25" customHeight="1" s="18">
      <c r="A97" s="102" t="n"/>
      <c r="B97" s="66" t="n"/>
      <c r="C97" s="77" t="n"/>
      <c r="D97" s="77" t="n"/>
      <c r="E97" s="78" t="n"/>
    </row>
    <row r="98" ht="25" customHeight="1" s="18">
      <c r="A98" s="101" t="n"/>
      <c r="B98" s="89" t="n"/>
      <c r="C98" s="74" t="n"/>
      <c r="D98" s="74" t="n"/>
      <c r="E98" s="75" t="n"/>
    </row>
    <row r="99" ht="25" customHeight="1" s="18">
      <c r="A99" s="102" t="n"/>
      <c r="B99" s="66" t="n"/>
      <c r="C99" s="77" t="n"/>
      <c r="D99" s="77" t="n"/>
      <c r="E99" s="78" t="n"/>
    </row>
    <row r="100" ht="25" customHeight="1" s="18">
      <c r="A100" s="101" t="n"/>
      <c r="B100" s="89" t="n"/>
      <c r="C100" s="74" t="n"/>
      <c r="D100" s="74" t="n"/>
      <c r="E100" s="75" t="n"/>
    </row>
    <row r="101" ht="25" customHeight="1" s="18">
      <c r="A101" s="102" t="n"/>
      <c r="B101" s="66" t="n"/>
      <c r="C101" s="77" t="n"/>
      <c r="D101" s="77" t="n"/>
      <c r="E101" s="78" t="n"/>
    </row>
    <row r="102" ht="25" customHeight="1" s="18">
      <c r="A102" s="101" t="n"/>
      <c r="B102" s="89" t="n"/>
      <c r="C102" s="74" t="n"/>
      <c r="D102" s="74" t="n"/>
      <c r="E102" s="75" t="n"/>
    </row>
    <row r="103" ht="25" customHeight="1" s="18">
      <c r="A103" s="102" t="n"/>
      <c r="B103" s="66" t="n"/>
      <c r="C103" s="77" t="n"/>
      <c r="D103" s="77" t="n"/>
      <c r="E103" s="78" t="n"/>
    </row>
    <row r="104" ht="25" customHeight="1" s="18">
      <c r="A104" s="101" t="n"/>
      <c r="B104" s="89" t="n"/>
      <c r="C104" s="74" t="n"/>
      <c r="D104" s="74" t="n"/>
      <c r="E104" s="75" t="n"/>
    </row>
    <row r="105" ht="25" customHeight="1" s="18">
      <c r="A105" s="102" t="n"/>
      <c r="B105" s="66" t="n"/>
      <c r="C105" s="77" t="n"/>
      <c r="D105" s="77" t="n"/>
      <c r="E105" s="78" t="n"/>
    </row>
    <row r="106" ht="25" customHeight="1" s="18">
      <c r="A106" s="101" t="n"/>
      <c r="B106" s="89" t="n"/>
      <c r="C106" s="74" t="n"/>
      <c r="D106" s="74" t="n"/>
      <c r="E106" s="75" t="n"/>
    </row>
    <row r="107" ht="25" customHeight="1" s="18">
      <c r="A107" s="102" t="n"/>
      <c r="B107" s="66" t="n"/>
      <c r="C107" s="77" t="n"/>
      <c r="D107" s="77" t="n"/>
      <c r="E107" s="78" t="n"/>
    </row>
    <row r="108" ht="25" customHeight="1" s="18">
      <c r="A108" s="101" t="n"/>
      <c r="B108" s="89" t="n"/>
      <c r="C108" s="74" t="n"/>
      <c r="D108" s="74" t="n"/>
      <c r="E108" s="75" t="n"/>
    </row>
    <row r="109" ht="25" customHeight="1" s="18">
      <c r="A109" s="102" t="n"/>
      <c r="B109" s="66" t="n"/>
      <c r="C109" s="77" t="n"/>
      <c r="D109" s="77" t="n"/>
      <c r="E109" s="78" t="n"/>
    </row>
    <row r="110" ht="25" customHeight="1" s="18">
      <c r="A110" s="101" t="n"/>
      <c r="B110" s="89" t="n"/>
      <c r="C110" s="74" t="n"/>
      <c r="D110" s="74" t="n"/>
      <c r="E110" s="75" t="n"/>
    </row>
    <row r="111" ht="25" customHeight="1" s="18">
      <c r="A111" s="102" t="n"/>
      <c r="B111" s="66" t="n"/>
      <c r="C111" s="77" t="n"/>
      <c r="D111" s="77" t="n"/>
      <c r="E111" s="78" t="n"/>
    </row>
    <row r="112" ht="25" customHeight="1" s="18">
      <c r="A112" s="101" t="n"/>
      <c r="B112" s="89" t="n"/>
      <c r="C112" s="74" t="n"/>
      <c r="D112" s="74" t="n"/>
      <c r="E112" s="75" t="n"/>
    </row>
    <row r="113" ht="25" customHeight="1" s="18">
      <c r="A113" s="102" t="n"/>
      <c r="B113" s="66" t="n"/>
      <c r="C113" s="77" t="n"/>
      <c r="D113" s="77" t="n"/>
      <c r="E113" s="78" t="n"/>
    </row>
    <row r="114" ht="25" customHeight="1" s="18">
      <c r="A114" s="101" t="n"/>
      <c r="B114" s="89" t="n"/>
      <c r="C114" s="74" t="n"/>
      <c r="D114" s="74" t="n"/>
      <c r="E114" s="75" t="n"/>
    </row>
    <row r="115" ht="25" customHeight="1" s="18">
      <c r="A115" s="102" t="n"/>
      <c r="B115" s="66" t="n"/>
      <c r="C115" s="77" t="n"/>
      <c r="D115" s="77" t="n"/>
      <c r="E115" s="78" t="n"/>
    </row>
    <row r="116" ht="25" customHeight="1" s="18">
      <c r="A116" s="101" t="n"/>
      <c r="B116" s="89" t="n"/>
      <c r="C116" s="74" t="n"/>
      <c r="D116" s="74" t="n"/>
      <c r="E116" s="75" t="n"/>
    </row>
    <row r="117" ht="25" customHeight="1" s="18">
      <c r="A117" s="102" t="n"/>
      <c r="B117" s="66" t="n"/>
      <c r="C117" s="77" t="n"/>
      <c r="D117" s="77" t="n"/>
      <c r="E117" s="78" t="n"/>
    </row>
    <row r="118" ht="25" customHeight="1" s="18">
      <c r="A118" s="101" t="n"/>
      <c r="B118" s="89" t="n"/>
      <c r="C118" s="74" t="n"/>
      <c r="D118" s="74" t="n"/>
      <c r="E118" s="75" t="n"/>
    </row>
    <row r="119" ht="25" customHeight="1" s="18">
      <c r="A119" s="102" t="n"/>
      <c r="B119" s="66" t="n"/>
      <c r="C119" s="77" t="n"/>
      <c r="D119" s="77" t="n"/>
      <c r="E119" s="78" t="n"/>
    </row>
    <row r="120" ht="25" customHeight="1" s="18">
      <c r="A120" s="101" t="n"/>
      <c r="B120" s="89" t="n"/>
      <c r="C120" s="74" t="n"/>
      <c r="D120" s="74" t="n"/>
      <c r="E120" s="75" t="n"/>
    </row>
    <row r="121" ht="25" customHeight="1" s="18">
      <c r="A121" s="102" t="n"/>
      <c r="B121" s="66" t="n"/>
      <c r="C121" s="77" t="n"/>
      <c r="D121" s="77" t="n"/>
      <c r="E121" s="78" t="n"/>
    </row>
    <row r="122" ht="25" customHeight="1" s="18">
      <c r="A122" s="101" t="n"/>
      <c r="B122" s="89" t="n"/>
      <c r="C122" s="74" t="n"/>
      <c r="D122" s="74" t="n"/>
      <c r="E122" s="75" t="n"/>
    </row>
    <row r="123" ht="25" customHeight="1" s="18">
      <c r="A123" s="102" t="n"/>
      <c r="B123" s="66" t="n"/>
      <c r="C123" s="77" t="n"/>
      <c r="D123" s="77" t="n"/>
      <c r="E123" s="78" t="n"/>
    </row>
    <row r="124" ht="25" customHeight="1" s="18">
      <c r="A124" s="101" t="n"/>
      <c r="B124" s="89" t="n"/>
      <c r="C124" s="74" t="n"/>
      <c r="D124" s="74" t="n"/>
      <c r="E124" s="75" t="n"/>
    </row>
    <row r="125" ht="25" customHeight="1" s="18">
      <c r="A125" s="102" t="n"/>
      <c r="B125" s="66" t="n"/>
      <c r="C125" s="77" t="n"/>
      <c r="D125" s="77" t="n"/>
      <c r="E125" s="78" t="n"/>
    </row>
    <row r="126" ht="25" customHeight="1" s="18">
      <c r="A126" s="101" t="n"/>
      <c r="B126" s="89" t="n"/>
      <c r="C126" s="74" t="n"/>
      <c r="D126" s="74" t="n"/>
      <c r="E126" s="75" t="n"/>
    </row>
    <row r="127" ht="25" customHeight="1" s="18">
      <c r="A127" s="102" t="n"/>
      <c r="B127" s="66" t="n"/>
      <c r="C127" s="77" t="n"/>
      <c r="D127" s="77" t="n"/>
      <c r="E127" s="78" t="n"/>
    </row>
    <row r="128" ht="25" customHeight="1" s="18">
      <c r="A128" s="101" t="n"/>
      <c r="B128" s="89" t="n"/>
      <c r="C128" s="74" t="n"/>
      <c r="D128" s="74" t="n"/>
      <c r="E128" s="75" t="n"/>
    </row>
    <row r="129" ht="25" customHeight="1" s="18">
      <c r="A129" s="102" t="n"/>
      <c r="B129" s="66" t="n"/>
      <c r="C129" s="77" t="n"/>
      <c r="D129" s="77" t="n"/>
      <c r="E129" s="78" t="n"/>
    </row>
    <row r="130" ht="25" customHeight="1" s="18">
      <c r="A130" s="101" t="n"/>
      <c r="B130" s="89" t="n"/>
      <c r="C130" s="74" t="n"/>
      <c r="D130" s="74" t="n"/>
      <c r="E130" s="75" t="n"/>
    </row>
    <row r="131" ht="25" customHeight="1" s="18">
      <c r="A131" s="102" t="n"/>
      <c r="B131" s="66" t="n"/>
      <c r="C131" s="77" t="n"/>
      <c r="D131" s="77" t="n"/>
      <c r="E131" s="78" t="n"/>
    </row>
    <row r="132" ht="25" customHeight="1" s="18">
      <c r="A132" s="101" t="n"/>
      <c r="B132" s="89" t="n"/>
      <c r="C132" s="74" t="n"/>
      <c r="D132" s="74" t="n"/>
      <c r="E132" s="75" t="n"/>
    </row>
    <row r="133" ht="25" customHeight="1" s="18">
      <c r="A133" s="102" t="n"/>
      <c r="B133" s="66" t="n"/>
      <c r="C133" s="77" t="n"/>
      <c r="D133" s="77" t="n"/>
      <c r="E133" s="78" t="n"/>
    </row>
    <row r="134" ht="25" customHeight="1" s="18">
      <c r="A134" s="101" t="n"/>
      <c r="B134" s="89" t="n"/>
      <c r="C134" s="74" t="n"/>
      <c r="D134" s="74" t="n"/>
      <c r="E134" s="75" t="n"/>
    </row>
    <row r="135" ht="25" customHeight="1" s="18">
      <c r="A135" s="102" t="n"/>
      <c r="B135" s="66" t="n"/>
      <c r="C135" s="77" t="n"/>
      <c r="D135" s="77" t="n"/>
      <c r="E135" s="78" t="n"/>
    </row>
    <row r="136" ht="25" customHeight="1" s="18">
      <c r="A136" s="101" t="n"/>
      <c r="B136" s="89" t="n"/>
      <c r="C136" s="74" t="n"/>
      <c r="D136" s="74" t="n"/>
      <c r="E136" s="75" t="n"/>
    </row>
    <row r="137" ht="25" customHeight="1" s="18">
      <c r="A137" s="102" t="n"/>
      <c r="B137" s="66" t="n"/>
      <c r="C137" s="77" t="n"/>
      <c r="D137" s="77" t="n"/>
      <c r="E137" s="78" t="n"/>
    </row>
    <row r="138" ht="25" customHeight="1" s="18">
      <c r="A138" s="101" t="n"/>
      <c r="B138" s="89" t="n"/>
      <c r="C138" s="74" t="n"/>
      <c r="D138" s="74" t="n"/>
      <c r="E138" s="75" t="n"/>
    </row>
    <row r="139" ht="25" customHeight="1" s="18">
      <c r="A139" s="102" t="n"/>
      <c r="B139" s="66" t="n"/>
      <c r="C139" s="77" t="n"/>
      <c r="D139" s="77" t="n"/>
      <c r="E139" s="78" t="n"/>
    </row>
    <row r="140" ht="25" customHeight="1" s="18">
      <c r="A140" s="101" t="n"/>
      <c r="B140" s="89" t="n"/>
      <c r="C140" s="74" t="n"/>
      <c r="D140" s="74" t="n"/>
      <c r="E140" s="75" t="n"/>
    </row>
    <row r="141" ht="25" customHeight="1" s="18">
      <c r="A141" s="102" t="n"/>
      <c r="B141" s="66" t="n"/>
      <c r="C141" s="77" t="n"/>
      <c r="D141" s="77" t="n"/>
      <c r="E141" s="78" t="n"/>
    </row>
    <row r="142" ht="25" customHeight="1" s="18">
      <c r="A142" s="101" t="n"/>
      <c r="B142" s="89" t="n"/>
      <c r="C142" s="74" t="n"/>
      <c r="D142" s="74" t="n"/>
      <c r="E142" s="75" t="n"/>
    </row>
    <row r="143" ht="25" customHeight="1" s="18">
      <c r="A143" s="102" t="n"/>
      <c r="B143" s="66" t="n"/>
      <c r="C143" s="77" t="n"/>
      <c r="D143" s="77" t="n"/>
      <c r="E143" s="78" t="n"/>
    </row>
    <row r="144" ht="25" customHeight="1" s="18">
      <c r="A144" s="101" t="n"/>
      <c r="B144" s="89" t="n"/>
      <c r="C144" s="74" t="n"/>
      <c r="D144" s="74" t="n"/>
      <c r="E144" s="75" t="n"/>
    </row>
    <row r="145" ht="25" customHeight="1" s="18">
      <c r="A145" s="102" t="n"/>
      <c r="B145" s="66" t="n"/>
      <c r="C145" s="77" t="n"/>
      <c r="D145" s="77" t="n"/>
      <c r="E145" s="78" t="n"/>
    </row>
    <row r="146" ht="25" customHeight="1" s="18">
      <c r="A146" s="101" t="n"/>
      <c r="B146" s="89" t="n"/>
      <c r="C146" s="74" t="n"/>
      <c r="D146" s="74" t="n"/>
      <c r="E146" s="75" t="n"/>
    </row>
    <row r="147" ht="25" customHeight="1" s="18">
      <c r="A147" s="102" t="n"/>
      <c r="B147" s="66" t="n"/>
      <c r="C147" s="77" t="n"/>
      <c r="D147" s="77" t="n"/>
      <c r="E147" s="78" t="n"/>
    </row>
    <row r="148" ht="25" customHeight="1" s="18">
      <c r="A148" s="101" t="n"/>
      <c r="B148" s="89" t="n"/>
      <c r="C148" s="74" t="n"/>
      <c r="D148" s="74" t="n"/>
      <c r="E148" s="75" t="n"/>
    </row>
    <row r="149" ht="25" customHeight="1" s="18">
      <c r="A149" s="102" t="n"/>
      <c r="B149" s="66" t="n"/>
      <c r="C149" s="77" t="n"/>
      <c r="D149" s="77" t="n"/>
      <c r="E149" s="78" t="n"/>
    </row>
    <row r="150" ht="25" customHeight="1" s="18">
      <c r="A150" s="101" t="n"/>
      <c r="B150" s="89" t="n"/>
      <c r="C150" s="74" t="n"/>
      <c r="D150" s="74" t="n"/>
      <c r="E150" s="75" t="n"/>
    </row>
    <row r="151" ht="25" customHeight="1" s="18">
      <c r="A151" s="102" t="n"/>
      <c r="B151" s="66" t="n"/>
      <c r="C151" s="77" t="n"/>
      <c r="D151" s="77" t="n"/>
      <c r="E151" s="78" t="n"/>
    </row>
    <row r="152" ht="25" customHeight="1" s="18">
      <c r="A152" s="101" t="n"/>
      <c r="B152" s="89" t="n"/>
      <c r="C152" s="74" t="n"/>
      <c r="D152" s="74" t="n"/>
      <c r="E152" s="75" t="n"/>
    </row>
    <row r="153" ht="25" customHeight="1" s="18">
      <c r="A153" s="102" t="n"/>
      <c r="B153" s="66" t="n"/>
      <c r="C153" s="77" t="n"/>
      <c r="D153" s="77" t="n"/>
      <c r="E153" s="78" t="n"/>
    </row>
    <row r="154" ht="25" customHeight="1" s="18">
      <c r="A154" s="101" t="n"/>
      <c r="B154" s="89" t="n"/>
      <c r="C154" s="74" t="n"/>
      <c r="D154" s="74" t="n"/>
      <c r="E154" s="75" t="n"/>
    </row>
    <row r="155" ht="25" customHeight="1" s="18">
      <c r="A155" s="102" t="n"/>
      <c r="B155" s="66" t="n"/>
      <c r="C155" s="77" t="n"/>
      <c r="D155" s="77" t="n"/>
      <c r="E155" s="78" t="n"/>
    </row>
    <row r="156" ht="25" customHeight="1" s="18">
      <c r="A156" s="101" t="n"/>
      <c r="B156" s="89" t="n"/>
      <c r="C156" s="74" t="n"/>
      <c r="D156" s="74" t="n"/>
      <c r="E156" s="75" t="n"/>
    </row>
    <row r="157" ht="25" customHeight="1" s="18">
      <c r="A157" s="102" t="n"/>
      <c r="B157" s="66" t="n"/>
      <c r="C157" s="77" t="n"/>
      <c r="D157" s="77" t="n"/>
      <c r="E157" s="78" t="n"/>
    </row>
    <row r="158" ht="25" customHeight="1" s="18">
      <c r="A158" s="101" t="n"/>
      <c r="B158" s="89" t="n"/>
      <c r="C158" s="74" t="n"/>
      <c r="D158" s="74" t="n"/>
      <c r="E158" s="75" t="n"/>
    </row>
    <row r="159" ht="25" customHeight="1" s="18">
      <c r="A159" s="102" t="n"/>
      <c r="B159" s="66" t="n"/>
      <c r="C159" s="77" t="n"/>
      <c r="D159" s="77" t="n"/>
      <c r="E159" s="78" t="n"/>
    </row>
    <row r="160" ht="25" customHeight="1" s="18">
      <c r="A160" s="101" t="n"/>
      <c r="B160" s="89" t="n"/>
      <c r="C160" s="74" t="n"/>
      <c r="D160" s="74" t="n"/>
      <c r="E160" s="75" t="n"/>
    </row>
    <row r="161" ht="25" customHeight="1" s="18">
      <c r="A161" s="102" t="n"/>
      <c r="B161" s="66" t="n"/>
      <c r="C161" s="77" t="n"/>
      <c r="D161" s="77" t="n"/>
      <c r="E161" s="78" t="n"/>
    </row>
    <row r="162" ht="25" customHeight="1" s="18">
      <c r="A162" s="101" t="n"/>
      <c r="B162" s="89" t="n"/>
      <c r="C162" s="74" t="n"/>
      <c r="D162" s="74" t="n"/>
      <c r="E162" s="75" t="n"/>
    </row>
    <row r="163" ht="25" customHeight="1" s="18">
      <c r="A163" s="102" t="n"/>
      <c r="B163" s="66" t="n"/>
      <c r="C163" s="77" t="n"/>
      <c r="D163" s="77" t="n"/>
      <c r="E163" s="78" t="n"/>
    </row>
    <row r="164" ht="25" customHeight="1" s="18">
      <c r="A164" s="101" t="n"/>
      <c r="B164" s="89" t="n"/>
      <c r="C164" s="74" t="n"/>
      <c r="D164" s="74" t="n"/>
      <c r="E164" s="75" t="n"/>
    </row>
    <row r="165" ht="25" customHeight="1" s="18">
      <c r="A165" s="102" t="n"/>
      <c r="B165" s="66" t="n"/>
      <c r="C165" s="77" t="n"/>
      <c r="D165" s="77" t="n"/>
      <c r="E165" s="78" t="n"/>
    </row>
    <row r="166" ht="25" customHeight="1" s="18">
      <c r="A166" s="101" t="n"/>
      <c r="B166" s="89" t="n"/>
      <c r="C166" s="74" t="n"/>
      <c r="D166" s="74" t="n"/>
      <c r="E166" s="75" t="n"/>
    </row>
    <row r="167" ht="25" customHeight="1" s="18">
      <c r="A167" s="102" t="n"/>
      <c r="B167" s="66" t="n"/>
      <c r="C167" s="77" t="n"/>
      <c r="D167" s="77" t="n"/>
      <c r="E167" s="78" t="n"/>
    </row>
    <row r="168" ht="25" customHeight="1" s="18">
      <c r="A168" s="101" t="n"/>
      <c r="B168" s="89" t="n"/>
      <c r="C168" s="74" t="n"/>
      <c r="D168" s="74" t="n"/>
      <c r="E168" s="75" t="n"/>
    </row>
    <row r="169" ht="25" customHeight="1" s="18">
      <c r="A169" s="102" t="n"/>
      <c r="B169" s="66" t="n"/>
      <c r="C169" s="77" t="n"/>
      <c r="D169" s="77" t="n"/>
      <c r="E169" s="78" t="n"/>
    </row>
    <row r="170" ht="25" customHeight="1" s="18">
      <c r="A170" s="101" t="n"/>
      <c r="B170" s="89" t="n"/>
      <c r="C170" s="74" t="n"/>
      <c r="D170" s="74" t="n"/>
      <c r="E170" s="75" t="n"/>
    </row>
    <row r="171" ht="25" customHeight="1" s="18">
      <c r="A171" s="102" t="n"/>
      <c r="B171" s="66" t="n"/>
      <c r="C171" s="77" t="n"/>
      <c r="D171" s="77" t="n"/>
      <c r="E171" s="78" t="n"/>
    </row>
    <row r="172" ht="25" customHeight="1" s="18">
      <c r="A172" s="101" t="n"/>
      <c r="B172" s="89" t="n"/>
      <c r="C172" s="74" t="n"/>
      <c r="D172" s="74" t="n"/>
      <c r="E172" s="75" t="n"/>
    </row>
    <row r="173" ht="25" customHeight="1" s="18">
      <c r="A173" s="102" t="n"/>
      <c r="B173" s="66" t="n"/>
      <c r="C173" s="77" t="n"/>
      <c r="D173" s="77" t="n"/>
      <c r="E173" s="78" t="n"/>
    </row>
    <row r="174" ht="25" customHeight="1" s="18">
      <c r="A174" s="101" t="n"/>
      <c r="B174" s="89" t="n"/>
      <c r="C174" s="74" t="n"/>
      <c r="D174" s="74" t="n"/>
      <c r="E174" s="75" t="n"/>
    </row>
    <row r="175" ht="25" customHeight="1" s="18">
      <c r="A175" s="102" t="n"/>
      <c r="B175" s="66" t="n"/>
      <c r="C175" s="77" t="n"/>
      <c r="D175" s="77" t="n"/>
      <c r="E175" s="78" t="n"/>
    </row>
    <row r="176" ht="25" customHeight="1" s="18">
      <c r="A176" s="101" t="n"/>
      <c r="B176" s="89" t="n"/>
      <c r="C176" s="74" t="n"/>
      <c r="D176" s="74" t="n"/>
      <c r="E176" s="75" t="n"/>
    </row>
    <row r="177" ht="25" customHeight="1" s="18">
      <c r="A177" s="102" t="n"/>
      <c r="B177" s="66" t="n"/>
      <c r="C177" s="77" t="n"/>
      <c r="D177" s="77" t="n"/>
      <c r="E177" s="78" t="n"/>
    </row>
    <row r="178" ht="25" customHeight="1" s="18">
      <c r="A178" s="101" t="n"/>
      <c r="B178" s="89" t="n"/>
      <c r="C178" s="74" t="n"/>
      <c r="D178" s="74" t="n"/>
      <c r="E178" s="75" t="n"/>
    </row>
    <row r="179" ht="25" customHeight="1" s="18">
      <c r="A179" s="102" t="n"/>
      <c r="B179" s="66" t="n"/>
      <c r="C179" s="77" t="n"/>
      <c r="D179" s="77" t="n"/>
      <c r="E179" s="78" t="n"/>
    </row>
    <row r="180" ht="25" customHeight="1" s="18">
      <c r="A180" s="101" t="n"/>
      <c r="B180" s="89" t="n"/>
      <c r="C180" s="74" t="n"/>
      <c r="D180" s="74" t="n"/>
      <c r="E180" s="75" t="n"/>
    </row>
    <row r="181" ht="25" customHeight="1" s="18">
      <c r="A181" s="102" t="n"/>
      <c r="B181" s="66" t="n"/>
      <c r="C181" s="77" t="n"/>
      <c r="D181" s="77" t="n"/>
      <c r="E181" s="78" t="n"/>
    </row>
    <row r="182" ht="25" customHeight="1" s="18">
      <c r="A182" s="101" t="n"/>
      <c r="B182" s="89" t="n"/>
      <c r="C182" s="74" t="n"/>
      <c r="D182" s="74" t="n"/>
      <c r="E182" s="75" t="n"/>
    </row>
    <row r="183" ht="25" customHeight="1" s="18">
      <c r="A183" s="102" t="n"/>
      <c r="B183" s="66" t="n"/>
      <c r="C183" s="77" t="n"/>
      <c r="D183" s="77" t="n"/>
      <c r="E183" s="78" t="n"/>
    </row>
    <row r="184" ht="25" customHeight="1" s="18">
      <c r="A184" s="101" t="n"/>
      <c r="B184" s="89" t="n"/>
      <c r="C184" s="74" t="n"/>
      <c r="D184" s="74" t="n"/>
      <c r="E184" s="75" t="n"/>
    </row>
    <row r="185" ht="25" customHeight="1" s="18">
      <c r="A185" s="102" t="n"/>
      <c r="B185" s="66" t="n"/>
      <c r="C185" s="77" t="n"/>
      <c r="D185" s="77" t="n"/>
      <c r="E185" s="78" t="n"/>
    </row>
    <row r="186" ht="25" customHeight="1" s="18">
      <c r="A186" s="101" t="n"/>
      <c r="B186" s="89" t="n"/>
      <c r="C186" s="74" t="n"/>
      <c r="D186" s="74" t="n"/>
      <c r="E186" s="75" t="n"/>
    </row>
    <row r="187" ht="25" customHeight="1" s="18">
      <c r="A187" s="102" t="n"/>
      <c r="B187" s="66" t="n"/>
      <c r="C187" s="77" t="n"/>
      <c r="D187" s="77" t="n"/>
      <c r="E187" s="78" t="n"/>
    </row>
    <row r="188" ht="25" customHeight="1" s="18">
      <c r="A188" s="101" t="n"/>
      <c r="B188" s="89" t="n"/>
      <c r="C188" s="74" t="n"/>
      <c r="D188" s="74" t="n"/>
      <c r="E188" s="75" t="n"/>
    </row>
    <row r="189" ht="25" customHeight="1" s="18">
      <c r="A189" s="102" t="n"/>
      <c r="B189" s="66" t="n"/>
      <c r="C189" s="77" t="n"/>
      <c r="D189" s="77" t="n"/>
      <c r="E189" s="78" t="n"/>
    </row>
    <row r="190" ht="25" customHeight="1" s="18">
      <c r="A190" s="101" t="n"/>
      <c r="B190" s="89" t="n"/>
      <c r="C190" s="74" t="n"/>
      <c r="D190" s="74" t="n"/>
      <c r="E190" s="75" t="n"/>
    </row>
    <row r="191" ht="25" customHeight="1" s="18">
      <c r="A191" s="102" t="n"/>
      <c r="B191" s="66" t="n"/>
      <c r="C191" s="77" t="n"/>
      <c r="D191" s="77" t="n"/>
      <c r="E191" s="78" t="n"/>
    </row>
    <row r="192" ht="25" customHeight="1" s="18">
      <c r="A192" s="101" t="n"/>
      <c r="B192" s="89" t="n"/>
      <c r="C192" s="74" t="n"/>
      <c r="D192" s="74" t="n"/>
      <c r="E192" s="75" t="n"/>
    </row>
    <row r="193" ht="25" customHeight="1" s="18">
      <c r="A193" s="102" t="n"/>
      <c r="B193" s="66" t="n"/>
      <c r="C193" s="77" t="n"/>
      <c r="D193" s="77" t="n"/>
      <c r="E193" s="78" t="n"/>
    </row>
    <row r="194" ht="25" customHeight="1" s="18">
      <c r="A194" s="101" t="n"/>
      <c r="B194" s="89" t="n"/>
      <c r="C194" s="74" t="n"/>
      <c r="D194" s="74" t="n"/>
      <c r="E194" s="75" t="n"/>
    </row>
    <row r="195" ht="25" customHeight="1" s="18">
      <c r="A195" s="102" t="n"/>
      <c r="B195" s="66" t="n"/>
      <c r="C195" s="77" t="n"/>
      <c r="D195" s="77" t="n"/>
      <c r="E195" s="78" t="n"/>
    </row>
    <row r="196" ht="25" customHeight="1" s="18">
      <c r="A196" s="101" t="n"/>
      <c r="B196" s="89" t="n"/>
      <c r="C196" s="74" t="n"/>
      <c r="D196" s="74" t="n"/>
      <c r="E196" s="75" t="n"/>
    </row>
    <row r="197" ht="25" customHeight="1" s="18">
      <c r="A197" s="102" t="n"/>
      <c r="B197" s="66" t="n"/>
      <c r="C197" s="77" t="n"/>
      <c r="D197" s="77" t="n"/>
      <c r="E197" s="78" t="n"/>
    </row>
    <row r="198" ht="25" customHeight="1" s="18">
      <c r="A198" s="101" t="n"/>
      <c r="B198" s="89" t="n"/>
      <c r="C198" s="74" t="n"/>
      <c r="D198" s="74" t="n"/>
      <c r="E198" s="75" t="n"/>
    </row>
    <row r="199" ht="25" customHeight="1" s="18">
      <c r="A199" s="102" t="n"/>
      <c r="B199" s="66" t="n"/>
      <c r="C199" s="77" t="n"/>
      <c r="D199" s="77" t="n"/>
      <c r="E199" s="78" t="n"/>
    </row>
    <row r="200" ht="25" customHeight="1" s="18">
      <c r="A200" s="101" t="n"/>
      <c r="B200" s="89" t="n"/>
      <c r="C200" s="74" t="n"/>
      <c r="D200" s="74" t="n"/>
      <c r="E200" s="75" t="n"/>
    </row>
    <row r="201" ht="25" customHeight="1" s="18">
      <c r="A201" s="102" t="n"/>
      <c r="B201" s="66" t="n"/>
      <c r="C201" s="77" t="n"/>
      <c r="D201" s="77" t="n"/>
      <c r="E201" s="78" t="n"/>
    </row>
    <row r="202" ht="25" customHeight="1" s="18">
      <c r="A202" s="101" t="n"/>
      <c r="B202" s="89" t="n"/>
      <c r="C202" s="74" t="n"/>
      <c r="D202" s="74" t="n"/>
      <c r="E202" s="75" t="n"/>
    </row>
    <row r="203" ht="25" customHeight="1" s="18">
      <c r="A203" s="102" t="n"/>
      <c r="B203" s="66" t="n"/>
      <c r="C203" s="77" t="n"/>
      <c r="D203" s="77" t="n"/>
      <c r="E203" s="78" t="n"/>
    </row>
    <row r="204" ht="25" customHeight="1" s="18">
      <c r="A204" s="101" t="n"/>
      <c r="B204" s="89" t="n"/>
      <c r="C204" s="74" t="n"/>
      <c r="D204" s="74" t="n"/>
      <c r="E204" s="75" t="n"/>
    </row>
    <row r="205" ht="25" customHeight="1" s="18">
      <c r="A205" s="102" t="n"/>
      <c r="B205" s="66" t="n"/>
      <c r="C205" s="77" t="n"/>
      <c r="D205" s="77" t="n"/>
      <c r="E205" s="78" t="n"/>
    </row>
    <row r="206" ht="25" customHeight="1" s="18">
      <c r="A206" s="101" t="n"/>
      <c r="B206" s="89" t="n"/>
      <c r="C206" s="74" t="n"/>
      <c r="D206" s="74" t="n"/>
      <c r="E206" s="75" t="n"/>
    </row>
    <row r="207" ht="25" customHeight="1" s="18">
      <c r="A207" s="102" t="n"/>
      <c r="B207" s="66" t="n"/>
      <c r="C207" s="77" t="n"/>
      <c r="D207" s="77" t="n"/>
      <c r="E207" s="78" t="n"/>
    </row>
    <row r="208" ht="25" customHeight="1" s="18">
      <c r="A208" s="101" t="n"/>
      <c r="B208" s="89" t="n"/>
      <c r="C208" s="74" t="n"/>
      <c r="D208" s="74" t="n"/>
      <c r="E208" s="75" t="n"/>
    </row>
    <row r="209" ht="25" customHeight="1" s="18">
      <c r="A209" s="102" t="n"/>
      <c r="B209" s="66" t="n"/>
      <c r="C209" s="77" t="n"/>
      <c r="D209" s="77" t="n"/>
      <c r="E209" s="78" t="n"/>
    </row>
    <row r="210" ht="25" customHeight="1" s="18">
      <c r="A210" s="101" t="n"/>
      <c r="B210" s="89" t="n"/>
      <c r="C210" s="74" t="n"/>
      <c r="D210" s="74" t="n"/>
      <c r="E210" s="75" t="n"/>
    </row>
    <row r="211" ht="25" customHeight="1" s="18">
      <c r="A211" s="102" t="n"/>
      <c r="B211" s="66" t="n"/>
      <c r="C211" s="77" t="n"/>
      <c r="D211" s="77" t="n"/>
      <c r="E211" s="78" t="n"/>
    </row>
    <row r="212" ht="25" customHeight="1" s="18">
      <c r="A212" s="101" t="n"/>
      <c r="B212" s="89" t="n"/>
      <c r="C212" s="74" t="n"/>
      <c r="D212" s="74" t="n"/>
      <c r="E212" s="75" t="n"/>
    </row>
    <row r="213" ht="25" customHeight="1" s="18">
      <c r="A213" s="102" t="n"/>
      <c r="B213" s="66" t="n"/>
      <c r="C213" s="77" t="n"/>
      <c r="D213" s="77" t="n"/>
      <c r="E213" s="78" t="n"/>
    </row>
    <row r="214" ht="25" customHeight="1" s="18">
      <c r="A214" s="101" t="n"/>
      <c r="B214" s="89" t="n"/>
      <c r="C214" s="74" t="n"/>
      <c r="D214" s="74" t="n"/>
      <c r="E214" s="75" t="n"/>
    </row>
    <row r="215" ht="25" customHeight="1" s="18">
      <c r="A215" s="102" t="n"/>
      <c r="B215" s="66" t="n"/>
      <c r="C215" s="77" t="n"/>
      <c r="D215" s="77" t="n"/>
      <c r="E215" s="78" t="n"/>
    </row>
    <row r="216" ht="25" customHeight="1" s="18">
      <c r="A216" s="101" t="n"/>
      <c r="B216" s="89" t="n"/>
      <c r="C216" s="74" t="n"/>
      <c r="D216" s="74" t="n"/>
      <c r="E216" s="75" t="n"/>
    </row>
    <row r="217" ht="25" customHeight="1" s="18">
      <c r="A217" s="102" t="n"/>
      <c r="B217" s="66" t="n"/>
      <c r="C217" s="77" t="n"/>
      <c r="D217" s="77" t="n"/>
      <c r="E217" s="78" t="n"/>
    </row>
    <row r="218" ht="25" customHeight="1" s="18">
      <c r="A218" s="101" t="n"/>
      <c r="B218" s="89" t="n"/>
      <c r="C218" s="74" t="n"/>
      <c r="D218" s="74" t="n"/>
      <c r="E218" s="75" t="n"/>
    </row>
    <row r="219" ht="25" customHeight="1" s="18">
      <c r="A219" s="102" t="n"/>
      <c r="B219" s="66" t="n"/>
      <c r="C219" s="77" t="n"/>
      <c r="D219" s="77" t="n"/>
      <c r="E219" s="78" t="n"/>
    </row>
    <row r="220" ht="25" customHeight="1" s="18">
      <c r="A220" s="101" t="n"/>
      <c r="B220" s="89" t="n"/>
      <c r="C220" s="74" t="n"/>
      <c r="D220" s="74" t="n"/>
      <c r="E220" s="75" t="n"/>
    </row>
    <row r="221" ht="25" customHeight="1" s="18">
      <c r="A221" s="102" t="n"/>
      <c r="B221" s="66" t="n"/>
      <c r="C221" s="77" t="n"/>
      <c r="D221" s="77" t="n"/>
      <c r="E221" s="78" t="n"/>
    </row>
    <row r="222" ht="25" customHeight="1" s="18">
      <c r="A222" s="101" t="n"/>
      <c r="B222" s="89" t="n"/>
      <c r="C222" s="74" t="n"/>
      <c r="D222" s="74" t="n"/>
      <c r="E222" s="75" t="n"/>
    </row>
    <row r="223" ht="25" customHeight="1" s="18">
      <c r="A223" s="102" t="n"/>
      <c r="B223" s="66" t="n"/>
      <c r="C223" s="77" t="n"/>
      <c r="D223" s="77" t="n"/>
      <c r="E223" s="78" t="n"/>
    </row>
    <row r="224" ht="25" customHeight="1" s="18">
      <c r="A224" s="101" t="n"/>
      <c r="B224" s="89" t="n"/>
      <c r="C224" s="74" t="n"/>
      <c r="D224" s="74" t="n"/>
      <c r="E224" s="75" t="n"/>
    </row>
    <row r="225" ht="25" customHeight="1" s="18">
      <c r="A225" s="102" t="n"/>
      <c r="B225" s="66" t="n"/>
      <c r="C225" s="77" t="n"/>
      <c r="D225" s="77" t="n"/>
      <c r="E225" s="78" t="n"/>
    </row>
    <row r="226" ht="25" customHeight="1" s="18">
      <c r="A226" s="101" t="n"/>
      <c r="B226" s="89" t="n"/>
      <c r="C226" s="74" t="n"/>
      <c r="D226" s="74" t="n"/>
      <c r="E226" s="75" t="n"/>
    </row>
    <row r="227" ht="25" customHeight="1" s="18">
      <c r="A227" s="102" t="n"/>
      <c r="B227" s="66" t="n"/>
      <c r="C227" s="77" t="n"/>
      <c r="D227" s="77" t="n"/>
      <c r="E227" s="78" t="n"/>
    </row>
    <row r="228" ht="25" customHeight="1" s="18">
      <c r="A228" s="101" t="n"/>
      <c r="B228" s="89" t="n"/>
      <c r="C228" s="74" t="n"/>
      <c r="D228" s="74" t="n"/>
      <c r="E228" s="75" t="n"/>
    </row>
    <row r="229" ht="25" customHeight="1" s="18">
      <c r="A229" s="102" t="n"/>
      <c r="B229" s="66" t="n"/>
      <c r="C229" s="77" t="n"/>
      <c r="D229" s="77" t="n"/>
      <c r="E229" s="78" t="n"/>
    </row>
    <row r="230" ht="25" customHeight="1" s="18">
      <c r="A230" s="101" t="n"/>
      <c r="B230" s="89" t="n"/>
      <c r="C230" s="74" t="n"/>
      <c r="D230" s="74" t="n"/>
      <c r="E230" s="75" t="n"/>
    </row>
    <row r="231" ht="25" customHeight="1" s="18">
      <c r="A231" s="102" t="n"/>
      <c r="B231" s="66" t="n"/>
      <c r="C231" s="77" t="n"/>
      <c r="D231" s="77" t="n"/>
      <c r="E231" s="78" t="n"/>
    </row>
    <row r="232" ht="25" customHeight="1" s="18">
      <c r="A232" s="101" t="n"/>
      <c r="B232" s="89" t="n"/>
      <c r="C232" s="74" t="n"/>
      <c r="D232" s="74" t="n"/>
      <c r="E232" s="75" t="n"/>
    </row>
    <row r="233" ht="25" customHeight="1" s="18">
      <c r="A233" s="102" t="n"/>
      <c r="B233" s="66" t="n"/>
      <c r="C233" s="77" t="n"/>
      <c r="D233" s="77" t="n"/>
      <c r="E233" s="78" t="n"/>
    </row>
    <row r="234" ht="25" customHeight="1" s="18">
      <c r="A234" s="101" t="n"/>
      <c r="B234" s="89" t="n"/>
      <c r="C234" s="74" t="n"/>
      <c r="D234" s="74" t="n"/>
      <c r="E234" s="75" t="n"/>
    </row>
    <row r="235" ht="25" customHeight="1" s="18">
      <c r="A235" s="102" t="n"/>
      <c r="B235" s="66" t="n"/>
      <c r="C235" s="77" t="n"/>
      <c r="D235" s="77" t="n"/>
      <c r="E235" s="78" t="n"/>
    </row>
    <row r="236" ht="25" customHeight="1" s="18">
      <c r="A236" s="101" t="n"/>
      <c r="B236" s="89" t="n"/>
      <c r="C236" s="74" t="n"/>
      <c r="D236" s="74" t="n"/>
      <c r="E236" s="75" t="n"/>
    </row>
    <row r="237" ht="25" customHeight="1" s="18">
      <c r="A237" s="102" t="n"/>
      <c r="B237" s="66" t="n"/>
      <c r="C237" s="77" t="n"/>
      <c r="D237" s="77" t="n"/>
      <c r="E237" s="78" t="n"/>
    </row>
    <row r="238" ht="25" customHeight="1" s="18">
      <c r="A238" s="101" t="n"/>
      <c r="B238" s="89" t="n"/>
      <c r="C238" s="74" t="n"/>
      <c r="D238" s="74" t="n"/>
      <c r="E238" s="75" t="n"/>
    </row>
    <row r="239" ht="25" customHeight="1" s="18">
      <c r="A239" s="102" t="n"/>
      <c r="B239" s="66" t="n"/>
      <c r="C239" s="77" t="n"/>
      <c r="D239" s="77" t="n"/>
      <c r="E239" s="78" t="n"/>
    </row>
    <row r="240" ht="25" customHeight="1" s="18">
      <c r="A240" s="101" t="n"/>
      <c r="B240" s="89" t="n"/>
      <c r="C240" s="74" t="n"/>
      <c r="D240" s="74" t="n"/>
      <c r="E240" s="75" t="n"/>
    </row>
    <row r="241" ht="25" customHeight="1" s="18">
      <c r="A241" s="102" t="n"/>
      <c r="B241" s="66" t="n"/>
      <c r="C241" s="77" t="n"/>
      <c r="D241" s="77" t="n"/>
      <c r="E241" s="78" t="n"/>
    </row>
    <row r="242" ht="25" customHeight="1" s="18">
      <c r="A242" s="101" t="n"/>
      <c r="B242" s="89" t="n"/>
      <c r="C242" s="74" t="n"/>
      <c r="D242" s="74" t="n"/>
      <c r="E242" s="75" t="n"/>
    </row>
    <row r="243" ht="25" customHeight="1" s="18">
      <c r="A243" s="102" t="n"/>
      <c r="B243" s="66" t="n"/>
      <c r="C243" s="77" t="n"/>
      <c r="D243" s="77" t="n"/>
      <c r="E243" s="78" t="n"/>
    </row>
    <row r="244" ht="25" customHeight="1" s="18">
      <c r="A244" s="101" t="n"/>
      <c r="B244" s="89" t="n"/>
      <c r="C244" s="74" t="n"/>
      <c r="D244" s="74" t="n"/>
      <c r="E244" s="75" t="n"/>
    </row>
    <row r="245" ht="25" customHeight="1" s="18">
      <c r="A245" s="102" t="n"/>
      <c r="B245" s="66" t="n"/>
      <c r="C245" s="77" t="n"/>
      <c r="D245" s="77" t="n"/>
      <c r="E245" s="78" t="n"/>
    </row>
    <row r="246" ht="25" customHeight="1" s="18">
      <c r="A246" s="101" t="n"/>
      <c r="B246" s="89" t="n"/>
      <c r="C246" s="74" t="n"/>
      <c r="D246" s="74" t="n"/>
      <c r="E246" s="75" t="n"/>
    </row>
    <row r="247" ht="25" customHeight="1" s="18">
      <c r="A247" s="102" t="n"/>
      <c r="B247" s="66" t="n"/>
      <c r="C247" s="77" t="n"/>
      <c r="D247" s="77" t="n"/>
      <c r="E247" s="78" t="n"/>
    </row>
    <row r="248" ht="25" customHeight="1" s="18">
      <c r="A248" s="101" t="n"/>
      <c r="B248" s="89" t="n"/>
      <c r="C248" s="74" t="n"/>
      <c r="D248" s="74" t="n"/>
      <c r="E248" s="75" t="n"/>
    </row>
    <row r="249" ht="25" customHeight="1" s="18">
      <c r="A249" s="102" t="n"/>
      <c r="B249" s="66" t="n"/>
      <c r="C249" s="77" t="n"/>
      <c r="D249" s="77" t="n"/>
      <c r="E249" s="78" t="n"/>
    </row>
    <row r="250" ht="25" customHeight="1" s="18">
      <c r="A250" s="101" t="n"/>
      <c r="B250" s="89" t="n"/>
      <c r="C250" s="74" t="n"/>
      <c r="D250" s="74" t="n"/>
      <c r="E250" s="75" t="n"/>
    </row>
    <row r="251" ht="25" customHeight="1" s="18">
      <c r="A251" s="102" t="n"/>
      <c r="B251" s="66" t="n"/>
      <c r="C251" s="77" t="n"/>
      <c r="D251" s="77" t="n"/>
      <c r="E251" s="78" t="n"/>
    </row>
    <row r="252" ht="25" customHeight="1" s="18">
      <c r="A252" s="101" t="n"/>
      <c r="B252" s="89" t="n"/>
      <c r="C252" s="74" t="n"/>
      <c r="D252" s="74" t="n"/>
      <c r="E252" s="75" t="n"/>
    </row>
    <row r="253" ht="25" customHeight="1" s="18">
      <c r="A253" s="102" t="n"/>
      <c r="B253" s="66" t="n"/>
      <c r="C253" s="77" t="n"/>
      <c r="D253" s="77" t="n"/>
      <c r="E253" s="78" t="n"/>
    </row>
    <row r="254" ht="25" customHeight="1" s="18">
      <c r="A254" s="101" t="n"/>
      <c r="B254" s="89" t="n"/>
      <c r="C254" s="74" t="n"/>
      <c r="D254" s="74" t="n"/>
      <c r="E254" s="75" t="n"/>
    </row>
    <row r="255" ht="25" customHeight="1" s="18">
      <c r="A255" s="102" t="n"/>
      <c r="B255" s="66" t="n"/>
      <c r="C255" s="77" t="n"/>
      <c r="D255" s="77" t="n"/>
      <c r="E255" s="78" t="n"/>
    </row>
    <row r="256" ht="25" customHeight="1" s="18">
      <c r="A256" s="101" t="n"/>
      <c r="B256" s="89" t="n"/>
      <c r="C256" s="74" t="n"/>
      <c r="D256" s="74" t="n"/>
      <c r="E256" s="75" t="n"/>
    </row>
    <row r="257" ht="25" customHeight="1" s="18">
      <c r="A257" s="102" t="n"/>
      <c r="B257" s="66" t="n"/>
      <c r="C257" s="77" t="n"/>
      <c r="D257" s="77" t="n"/>
      <c r="E257" s="78" t="n"/>
    </row>
    <row r="258" ht="25" customHeight="1" s="18">
      <c r="A258" s="101" t="n"/>
      <c r="B258" s="89" t="n"/>
      <c r="C258" s="74" t="n"/>
      <c r="D258" s="74" t="n"/>
      <c r="E258" s="75" t="n"/>
    </row>
    <row r="259" ht="25" customHeight="1" s="18">
      <c r="A259" s="102" t="n"/>
      <c r="B259" s="66" t="n"/>
      <c r="C259" s="77" t="n"/>
      <c r="D259" s="77" t="n"/>
      <c r="E259" s="78" t="n"/>
    </row>
    <row r="260" ht="25" customHeight="1" s="18">
      <c r="A260" s="101" t="n"/>
      <c r="B260" s="89" t="n"/>
      <c r="C260" s="74" t="n"/>
      <c r="D260" s="74" t="n"/>
      <c r="E260" s="75" t="n"/>
    </row>
    <row r="261" ht="25" customHeight="1" s="18">
      <c r="A261" s="102" t="n"/>
      <c r="B261" s="66" t="n"/>
      <c r="C261" s="77" t="n"/>
      <c r="D261" s="77" t="n"/>
      <c r="E261" s="78" t="n"/>
    </row>
    <row r="262" ht="25" customHeight="1" s="18">
      <c r="A262" s="101" t="n"/>
      <c r="B262" s="89" t="n"/>
      <c r="C262" s="74" t="n"/>
      <c r="D262" s="74" t="n"/>
      <c r="E262" s="75" t="n"/>
    </row>
    <row r="263" ht="25" customHeight="1" s="18">
      <c r="A263" s="102" t="n"/>
      <c r="B263" s="66" t="n"/>
      <c r="C263" s="77" t="n"/>
      <c r="D263" s="77" t="n"/>
      <c r="E263" s="78" t="n"/>
    </row>
    <row r="264" ht="25" customHeight="1" s="18">
      <c r="A264" s="101" t="n"/>
      <c r="B264" s="89" t="n"/>
      <c r="C264" s="74" t="n"/>
      <c r="D264" s="74" t="n"/>
      <c r="E264" s="75" t="n"/>
    </row>
    <row r="265" ht="25" customHeight="1" s="18">
      <c r="A265" s="102" t="n"/>
      <c r="B265" s="66" t="n"/>
      <c r="C265" s="77" t="n"/>
      <c r="D265" s="77" t="n"/>
      <c r="E265" s="78" t="n"/>
    </row>
    <row r="266" ht="25" customHeight="1" s="18">
      <c r="A266" s="101" t="n"/>
      <c r="B266" s="89" t="n"/>
      <c r="C266" s="74" t="n"/>
      <c r="D266" s="74" t="n"/>
      <c r="E266" s="75" t="n"/>
    </row>
    <row r="267" ht="25" customHeight="1" s="18">
      <c r="A267" s="102" t="n"/>
      <c r="B267" s="66" t="n"/>
      <c r="C267" s="77" t="n"/>
      <c r="D267" s="77" t="n"/>
      <c r="E267" s="78" t="n"/>
    </row>
    <row r="268" ht="25" customHeight="1" s="18">
      <c r="A268" s="101" t="n"/>
      <c r="B268" s="89" t="n"/>
      <c r="C268" s="74" t="n"/>
      <c r="D268" s="74" t="n"/>
      <c r="E268" s="75" t="n"/>
    </row>
    <row r="269" ht="25" customHeight="1" s="18">
      <c r="A269" s="102" t="n"/>
      <c r="B269" s="66" t="n"/>
      <c r="C269" s="77" t="n"/>
      <c r="D269" s="77" t="n"/>
      <c r="E269" s="78" t="n"/>
    </row>
    <row r="270" ht="25" customHeight="1" s="18">
      <c r="A270" s="101" t="n"/>
      <c r="B270" s="89" t="n"/>
      <c r="C270" s="74" t="n"/>
      <c r="D270" s="74" t="n"/>
      <c r="E270" s="75" t="n"/>
    </row>
    <row r="271" ht="25" customHeight="1" s="18">
      <c r="A271" s="102" t="n"/>
      <c r="B271" s="66" t="n"/>
      <c r="C271" s="77" t="n"/>
      <c r="D271" s="77" t="n"/>
      <c r="E271" s="78" t="n"/>
    </row>
    <row r="272" ht="25" customHeight="1" s="18">
      <c r="A272" s="101" t="n"/>
      <c r="B272" s="89" t="n"/>
      <c r="C272" s="74" t="n"/>
      <c r="D272" s="74" t="n"/>
      <c r="E272" s="75" t="n"/>
    </row>
    <row r="273" ht="25" customHeight="1" s="18">
      <c r="A273" s="102" t="n"/>
      <c r="B273" s="66" t="n"/>
      <c r="C273" s="77" t="n"/>
      <c r="D273" s="77" t="n"/>
      <c r="E273" s="78" t="n"/>
    </row>
    <row r="274" ht="25" customHeight="1" s="18">
      <c r="A274" s="101" t="n"/>
      <c r="B274" s="89" t="n"/>
      <c r="C274" s="74" t="n"/>
      <c r="D274" s="74" t="n"/>
      <c r="E274" s="75" t="n"/>
    </row>
    <row r="275" ht="25" customHeight="1" s="18">
      <c r="A275" s="102" t="n"/>
      <c r="B275" s="66" t="n"/>
      <c r="C275" s="77" t="n"/>
      <c r="D275" s="77" t="n"/>
      <c r="E275" s="78" t="n"/>
    </row>
    <row r="276" ht="25" customHeight="1" s="18">
      <c r="A276" s="101" t="n"/>
      <c r="B276" s="89" t="n"/>
      <c r="C276" s="74" t="n"/>
      <c r="D276" s="74" t="n"/>
      <c r="E276" s="75" t="n"/>
    </row>
    <row r="277" ht="25" customHeight="1" s="18">
      <c r="A277" s="102" t="n"/>
      <c r="B277" s="66" t="n"/>
      <c r="C277" s="77" t="n"/>
      <c r="D277" s="77" t="n"/>
      <c r="E277" s="78" t="n"/>
    </row>
    <row r="278" ht="25" customHeight="1" s="18">
      <c r="A278" s="101" t="n"/>
      <c r="B278" s="89" t="n"/>
      <c r="C278" s="74" t="n"/>
      <c r="D278" s="74" t="n"/>
      <c r="E278" s="75" t="n"/>
    </row>
    <row r="279" ht="25" customHeight="1" s="18">
      <c r="A279" s="102" t="n"/>
      <c r="B279" s="66" t="n"/>
      <c r="C279" s="77" t="n"/>
      <c r="D279" s="77" t="n"/>
      <c r="E279" s="78" t="n"/>
    </row>
    <row r="280" ht="25" customHeight="1" s="18">
      <c r="A280" s="101" t="n"/>
      <c r="B280" s="89" t="n"/>
      <c r="C280" s="74" t="n"/>
      <c r="D280" s="74" t="n"/>
      <c r="E280" s="75" t="n"/>
    </row>
    <row r="281" ht="25" customHeight="1" s="18">
      <c r="A281" s="102" t="n"/>
      <c r="B281" s="66" t="n"/>
      <c r="C281" s="77" t="n"/>
      <c r="D281" s="77" t="n"/>
      <c r="E281" s="78" t="n"/>
    </row>
    <row r="282" ht="25" customHeight="1" s="18">
      <c r="A282" s="101" t="n"/>
      <c r="B282" s="89" t="n"/>
      <c r="C282" s="74" t="n"/>
      <c r="D282" s="74" t="n"/>
      <c r="E282" s="75" t="n"/>
    </row>
    <row r="283" ht="25" customHeight="1" s="18">
      <c r="A283" s="102" t="n"/>
      <c r="B283" s="66" t="n"/>
      <c r="C283" s="77" t="n"/>
      <c r="D283" s="77" t="n"/>
      <c r="E283" s="78" t="n"/>
    </row>
    <row r="284" ht="25" customHeight="1" s="18">
      <c r="A284" s="101" t="n"/>
      <c r="B284" s="89" t="n"/>
      <c r="C284" s="74" t="n"/>
      <c r="D284" s="74" t="n"/>
      <c r="E284" s="75" t="n"/>
    </row>
    <row r="285" ht="25" customHeight="1" s="18">
      <c r="A285" s="102" t="n"/>
      <c r="B285" s="66" t="n"/>
      <c r="C285" s="77" t="n"/>
      <c r="D285" s="77" t="n"/>
      <c r="E285" s="78" t="n"/>
    </row>
    <row r="286" ht="25" customHeight="1" s="18">
      <c r="A286" s="101" t="n"/>
      <c r="B286" s="89" t="n"/>
      <c r="C286" s="74" t="n"/>
      <c r="D286" s="74" t="n"/>
      <c r="E286" s="75" t="n"/>
    </row>
    <row r="287" ht="25" customHeight="1" s="18">
      <c r="A287" s="102" t="n"/>
      <c r="B287" s="66" t="n"/>
      <c r="C287" s="77" t="n"/>
      <c r="D287" s="77" t="n"/>
      <c r="E287" s="78" t="n"/>
    </row>
    <row r="288" ht="25" customHeight="1" s="18">
      <c r="A288" s="101" t="n"/>
      <c r="B288" s="89" t="n"/>
      <c r="C288" s="74" t="n"/>
      <c r="D288" s="74" t="n"/>
      <c r="E288" s="75" t="n"/>
    </row>
    <row r="289" ht="25" customHeight="1" s="18">
      <c r="A289" s="102" t="n"/>
      <c r="B289" s="66" t="n"/>
      <c r="C289" s="77" t="n"/>
      <c r="D289" s="77" t="n"/>
      <c r="E289" s="78" t="n"/>
    </row>
    <row r="290" ht="25" customHeight="1" s="18">
      <c r="A290" s="101" t="n"/>
      <c r="B290" s="89" t="n"/>
      <c r="C290" s="74" t="n"/>
      <c r="D290" s="74" t="n"/>
      <c r="E290" s="75" t="n"/>
    </row>
    <row r="291" ht="25" customHeight="1" s="18">
      <c r="A291" s="102" t="n"/>
      <c r="B291" s="66" t="n"/>
      <c r="C291" s="77" t="n"/>
      <c r="D291" s="77" t="n"/>
      <c r="E291" s="78" t="n"/>
    </row>
    <row r="292" ht="25" customHeight="1" s="18">
      <c r="A292" s="101" t="n"/>
      <c r="B292" s="89" t="n"/>
      <c r="C292" s="74" t="n"/>
      <c r="D292" s="74" t="n"/>
      <c r="E292" s="75" t="n"/>
    </row>
    <row r="293" ht="25" customHeight="1" s="18">
      <c r="A293" s="102" t="n"/>
      <c r="B293" s="66" t="n"/>
      <c r="C293" s="77" t="n"/>
      <c r="D293" s="77" t="n"/>
      <c r="E293" s="78" t="n"/>
    </row>
    <row r="294" ht="25" customHeight="1" s="18">
      <c r="A294" s="101" t="n"/>
      <c r="B294" s="89" t="n"/>
      <c r="C294" s="74" t="n"/>
      <c r="D294" s="74" t="n"/>
      <c r="E294" s="75" t="n"/>
    </row>
    <row r="295" ht="25" customHeight="1" s="18">
      <c r="A295" s="102" t="n"/>
      <c r="B295" s="66" t="n"/>
      <c r="C295" s="77" t="n"/>
      <c r="D295" s="77" t="n"/>
      <c r="E295" s="78" t="n"/>
    </row>
    <row r="296" ht="25" customHeight="1" s="18">
      <c r="A296" s="101" t="n"/>
      <c r="B296" s="89" t="n"/>
      <c r="C296" s="74" t="n"/>
      <c r="D296" s="74" t="n"/>
      <c r="E296" s="75" t="n"/>
    </row>
    <row r="297" ht="25" customHeight="1" s="18">
      <c r="A297" s="102" t="n"/>
      <c r="B297" s="66" t="n"/>
      <c r="C297" s="77" t="n"/>
      <c r="D297" s="77" t="n"/>
      <c r="E297" s="78" t="n"/>
    </row>
    <row r="298" ht="25" customHeight="1" s="18">
      <c r="A298" s="101" t="n"/>
      <c r="B298" s="89" t="n"/>
      <c r="C298" s="74" t="n"/>
      <c r="D298" s="74" t="n"/>
      <c r="E298" s="75" t="n"/>
    </row>
    <row r="299" ht="25" customHeight="1" s="18">
      <c r="A299" s="102" t="n"/>
      <c r="B299" s="66" t="n"/>
      <c r="C299" s="77" t="n"/>
      <c r="D299" s="77" t="n"/>
      <c r="E299" s="78" t="n"/>
    </row>
    <row r="300" ht="25" customHeight="1" s="18">
      <c r="A300" s="101" t="n"/>
      <c r="B300" s="89" t="n"/>
      <c r="C300" s="74" t="n"/>
      <c r="D300" s="74" t="n"/>
      <c r="E300" s="75" t="n"/>
    </row>
    <row r="301" ht="25" customHeight="1" s="18">
      <c r="A301" s="102" t="n"/>
      <c r="B301" s="66" t="n"/>
      <c r="C301" s="77" t="n"/>
      <c r="D301" s="77" t="n"/>
      <c r="E301" s="78" t="n"/>
    </row>
    <row r="302" ht="25" customHeight="1" s="18">
      <c r="A302" s="101" t="n"/>
      <c r="B302" s="89" t="n"/>
      <c r="C302" s="74" t="n"/>
      <c r="D302" s="74" t="n"/>
      <c r="E302" s="75" t="n"/>
    </row>
    <row r="303" ht="25" customHeight="1" s="18">
      <c r="A303" s="102" t="n"/>
      <c r="B303" s="66" t="n"/>
      <c r="C303" s="77" t="n"/>
      <c r="D303" s="77" t="n"/>
      <c r="E303" s="78" t="n"/>
    </row>
    <row r="304" ht="25" customHeight="1" s="18">
      <c r="A304" s="101" t="n"/>
      <c r="B304" s="89" t="n"/>
      <c r="C304" s="74" t="n"/>
      <c r="D304" s="74" t="n"/>
      <c r="E304" s="75" t="n"/>
    </row>
    <row r="305" ht="25" customHeight="1" s="18">
      <c r="A305" s="102" t="n"/>
      <c r="B305" s="66" t="n"/>
      <c r="C305" s="77" t="n"/>
      <c r="D305" s="77" t="n"/>
      <c r="E305" s="78" t="n"/>
    </row>
    <row r="306" ht="25" customHeight="1" s="18">
      <c r="A306" s="101" t="n"/>
      <c r="B306" s="89" t="n"/>
      <c r="C306" s="74" t="n"/>
      <c r="D306" s="74" t="n"/>
      <c r="E306" s="75" t="n"/>
    </row>
    <row r="307" ht="25" customHeight="1" s="18">
      <c r="A307" s="102" t="n"/>
      <c r="B307" s="66" t="n"/>
      <c r="C307" s="77" t="n"/>
      <c r="D307" s="77" t="n"/>
      <c r="E307" s="78" t="n"/>
    </row>
    <row r="308" ht="25" customHeight="1" s="18">
      <c r="A308" s="101" t="n"/>
      <c r="B308" s="89" t="n"/>
      <c r="C308" s="74" t="n"/>
      <c r="D308" s="74" t="n"/>
      <c r="E308" s="75" t="n"/>
    </row>
    <row r="309" ht="25" customHeight="1" s="18">
      <c r="A309" s="102" t="n"/>
      <c r="B309" s="66" t="n"/>
      <c r="C309" s="77" t="n"/>
      <c r="D309" s="77" t="n"/>
      <c r="E309" s="78" t="n"/>
    </row>
    <row r="310" ht="25" customHeight="1" s="18">
      <c r="A310" s="101" t="n"/>
      <c r="B310" s="89" t="n"/>
      <c r="C310" s="74" t="n"/>
      <c r="D310" s="74" t="n"/>
      <c r="E310" s="75" t="n"/>
    </row>
    <row r="311" ht="25" customHeight="1" s="18">
      <c r="A311" s="102" t="n"/>
      <c r="B311" s="66" t="n"/>
      <c r="C311" s="77" t="n"/>
      <c r="D311" s="77" t="n"/>
      <c r="E311" s="78" t="n"/>
    </row>
    <row r="312" ht="25" customHeight="1" s="18">
      <c r="A312" s="101" t="n"/>
      <c r="B312" s="89" t="n"/>
      <c r="C312" s="74" t="n"/>
      <c r="D312" s="74" t="n"/>
      <c r="E312" s="75" t="n"/>
    </row>
    <row r="313" ht="25" customHeight="1" s="18">
      <c r="A313" s="102" t="n"/>
      <c r="B313" s="66" t="n"/>
      <c r="C313" s="77" t="n"/>
      <c r="D313" s="77" t="n"/>
      <c r="E313" s="78" t="n"/>
    </row>
    <row r="314" ht="25" customHeight="1" s="18">
      <c r="A314" s="101" t="n"/>
      <c r="B314" s="89" t="n"/>
      <c r="C314" s="74" t="n"/>
      <c r="D314" s="74" t="n"/>
      <c r="E314" s="75" t="n"/>
    </row>
    <row r="315" ht="25" customHeight="1" s="18">
      <c r="A315" s="102" t="n"/>
      <c r="B315" s="66" t="n"/>
      <c r="C315" s="77" t="n"/>
      <c r="D315" s="77" t="n"/>
      <c r="E315" s="78" t="n"/>
    </row>
    <row r="316" ht="25" customHeight="1" s="18">
      <c r="A316" s="101" t="n"/>
      <c r="B316" s="89" t="n"/>
      <c r="C316" s="74" t="n"/>
      <c r="D316" s="74" t="n"/>
      <c r="E316" s="75" t="n"/>
    </row>
    <row r="317" ht="25" customHeight="1" s="18">
      <c r="A317" s="102" t="n"/>
      <c r="B317" s="66" t="n"/>
      <c r="C317" s="77" t="n"/>
      <c r="D317" s="77" t="n"/>
      <c r="E317" s="78" t="n"/>
    </row>
    <row r="318" ht="25" customHeight="1" s="18">
      <c r="A318" s="101" t="n"/>
      <c r="B318" s="89" t="n"/>
      <c r="C318" s="74" t="n"/>
      <c r="D318" s="74" t="n"/>
      <c r="E318" s="75" t="n"/>
    </row>
    <row r="319" ht="25" customHeight="1" s="18">
      <c r="A319" s="102" t="n"/>
      <c r="B319" s="66" t="n"/>
      <c r="C319" s="77" t="n"/>
      <c r="D319" s="77" t="n"/>
      <c r="E319" s="78" t="n"/>
    </row>
    <row r="320" ht="25" customHeight="1" s="18">
      <c r="A320" s="101" t="n"/>
      <c r="B320" s="89" t="n"/>
      <c r="C320" s="74" t="n"/>
      <c r="D320" s="74" t="n"/>
      <c r="E320" s="75" t="n"/>
    </row>
    <row r="321" ht="25" customHeight="1" s="18">
      <c r="A321" s="102" t="n"/>
      <c r="B321" s="66" t="n"/>
      <c r="C321" s="77" t="n"/>
      <c r="D321" s="77" t="n"/>
      <c r="E321" s="78" t="n"/>
    </row>
    <row r="322" ht="25" customHeight="1" s="18">
      <c r="A322" s="101" t="n"/>
      <c r="B322" s="89" t="n"/>
      <c r="C322" s="74" t="n"/>
      <c r="D322" s="74" t="n"/>
      <c r="E322" s="75" t="n"/>
    </row>
    <row r="323" ht="25" customHeight="1" s="18">
      <c r="A323" s="102" t="n"/>
      <c r="B323" s="66" t="n"/>
      <c r="C323" s="77" t="n"/>
      <c r="D323" s="77" t="n"/>
      <c r="E323" s="78" t="n"/>
    </row>
    <row r="324" ht="25" customHeight="1" s="18">
      <c r="A324" s="101" t="n"/>
      <c r="B324" s="89" t="n"/>
      <c r="C324" s="74" t="n"/>
      <c r="D324" s="74" t="n"/>
      <c r="E324" s="75" t="n"/>
    </row>
    <row r="325" ht="25" customHeight="1" s="18">
      <c r="A325" s="102" t="n"/>
      <c r="B325" s="66" t="n"/>
      <c r="C325" s="77" t="n"/>
      <c r="D325" s="77" t="n"/>
      <c r="E325" s="78" t="n"/>
    </row>
    <row r="326" ht="25" customHeight="1" s="18">
      <c r="A326" s="101" t="n"/>
      <c r="B326" s="89" t="n"/>
      <c r="C326" s="74" t="n"/>
      <c r="D326" s="74" t="n"/>
      <c r="E326" s="75" t="n"/>
    </row>
    <row r="327" ht="25" customHeight="1" s="18">
      <c r="A327" s="102" t="n"/>
      <c r="B327" s="66" t="n"/>
      <c r="C327" s="77" t="n"/>
      <c r="D327" s="77" t="n"/>
      <c r="E327" s="78" t="n"/>
    </row>
    <row r="328" ht="25" customHeight="1" s="18">
      <c r="A328" s="101" t="n"/>
      <c r="B328" s="89" t="n"/>
      <c r="C328" s="74" t="n"/>
      <c r="D328" s="74" t="n"/>
      <c r="E328" s="75" t="n"/>
    </row>
    <row r="329" ht="25" customHeight="1" s="18">
      <c r="A329" s="102" t="n"/>
      <c r="B329" s="66" t="n"/>
      <c r="C329" s="77" t="n"/>
      <c r="D329" s="77" t="n"/>
      <c r="E329" s="78" t="n"/>
    </row>
    <row r="330" ht="25" customHeight="1" s="18">
      <c r="A330" s="101" t="n"/>
      <c r="B330" s="89" t="n"/>
      <c r="C330" s="74" t="n"/>
      <c r="D330" s="74" t="n"/>
      <c r="E330" s="75" t="n"/>
    </row>
    <row r="331" ht="25" customHeight="1" s="18">
      <c r="A331" s="102" t="n"/>
      <c r="B331" s="66" t="n"/>
      <c r="C331" s="77" t="n"/>
      <c r="D331" s="77" t="n"/>
      <c r="E331" s="78" t="n"/>
    </row>
    <row r="332" ht="25" customHeight="1" s="18">
      <c r="A332" s="101" t="n"/>
      <c r="B332" s="89" t="n"/>
      <c r="C332" s="74" t="n"/>
      <c r="D332" s="74" t="n"/>
      <c r="E332" s="75" t="n"/>
    </row>
    <row r="333" ht="25" customHeight="1" s="18">
      <c r="A333" s="102" t="n"/>
      <c r="B333" s="66" t="n"/>
      <c r="C333" s="77" t="n"/>
      <c r="D333" s="77" t="n"/>
      <c r="E333" s="78" t="n"/>
    </row>
    <row r="334" ht="25" customHeight="1" s="18">
      <c r="A334" s="101" t="n"/>
      <c r="B334" s="89" t="n"/>
      <c r="C334" s="74" t="n"/>
      <c r="D334" s="74" t="n"/>
      <c r="E334" s="75" t="n"/>
    </row>
    <row r="335" ht="25" customHeight="1" s="18">
      <c r="A335" s="102" t="n"/>
      <c r="B335" s="66" t="n"/>
      <c r="C335" s="77" t="n"/>
      <c r="D335" s="77" t="n"/>
      <c r="E335" s="78" t="n"/>
    </row>
    <row r="336" ht="25" customHeight="1" s="18">
      <c r="A336" s="101" t="n"/>
      <c r="B336" s="89" t="n"/>
      <c r="C336" s="74" t="n"/>
      <c r="D336" s="74" t="n"/>
      <c r="E336" s="75" t="n"/>
    </row>
    <row r="337" ht="25" customHeight="1" s="18">
      <c r="A337" s="102" t="n"/>
      <c r="B337" s="66" t="n"/>
      <c r="C337" s="77" t="n"/>
      <c r="D337" s="77" t="n"/>
      <c r="E337" s="78" t="n"/>
    </row>
    <row r="338" ht="25" customHeight="1" s="18">
      <c r="A338" s="101" t="n"/>
      <c r="B338" s="89" t="n"/>
      <c r="C338" s="74" t="n"/>
      <c r="D338" s="74" t="n"/>
      <c r="E338" s="75" t="n"/>
    </row>
    <row r="339" ht="25" customHeight="1" s="18">
      <c r="A339" s="102" t="n"/>
      <c r="B339" s="66" t="n"/>
      <c r="C339" s="77" t="n"/>
      <c r="D339" s="77" t="n"/>
      <c r="E339" s="78" t="n"/>
    </row>
    <row r="340" ht="25" customHeight="1" s="18">
      <c r="A340" s="101" t="n"/>
      <c r="B340" s="89" t="n"/>
      <c r="C340" s="74" t="n"/>
      <c r="D340" s="74" t="n"/>
      <c r="E340" s="75" t="n"/>
    </row>
    <row r="341" ht="25" customHeight="1" s="18">
      <c r="A341" s="102" t="n"/>
      <c r="B341" s="66" t="n"/>
      <c r="C341" s="77" t="n"/>
      <c r="D341" s="77" t="n"/>
      <c r="E341" s="78" t="n"/>
    </row>
    <row r="342" ht="25" customHeight="1" s="18">
      <c r="A342" s="101" t="n"/>
      <c r="B342" s="89" t="n"/>
      <c r="C342" s="74" t="n"/>
      <c r="D342" s="74" t="n"/>
      <c r="E342" s="75" t="n"/>
    </row>
    <row r="343" ht="25" customHeight="1" s="18">
      <c r="A343" s="102" t="n"/>
      <c r="B343" s="66" t="n"/>
      <c r="C343" s="77" t="n"/>
      <c r="D343" s="77" t="n"/>
      <c r="E343" s="78" t="n"/>
    </row>
    <row r="344" ht="25" customHeight="1" s="18">
      <c r="A344" s="101" t="n"/>
      <c r="B344" s="89" t="n"/>
      <c r="C344" s="74" t="n"/>
      <c r="D344" s="74" t="n"/>
      <c r="E344" s="75" t="n"/>
    </row>
    <row r="345" ht="25" customHeight="1" s="18">
      <c r="A345" s="102" t="n"/>
      <c r="B345" s="66" t="n"/>
      <c r="C345" s="77" t="n"/>
      <c r="D345" s="77" t="n"/>
      <c r="E345" s="78" t="n"/>
    </row>
    <row r="346" ht="25" customHeight="1" s="18">
      <c r="A346" s="101" t="n"/>
      <c r="B346" s="89" t="n"/>
      <c r="C346" s="74" t="n"/>
      <c r="D346" s="74" t="n"/>
      <c r="E346" s="75" t="n"/>
    </row>
    <row r="347" ht="25" customHeight="1" s="18">
      <c r="A347" s="102" t="n"/>
      <c r="B347" s="66" t="n"/>
      <c r="C347" s="77" t="n"/>
      <c r="D347" s="77" t="n"/>
      <c r="E347" s="78" t="n"/>
    </row>
    <row r="348" ht="25" customHeight="1" s="18">
      <c r="A348" s="101" t="n"/>
      <c r="B348" s="89" t="n"/>
      <c r="C348" s="74" t="n"/>
      <c r="D348" s="74" t="n"/>
      <c r="E348" s="75" t="n"/>
    </row>
    <row r="349" ht="25" customHeight="1" s="18">
      <c r="A349" s="102" t="n"/>
      <c r="B349" s="66" t="n"/>
      <c r="C349" s="77" t="n"/>
      <c r="D349" s="77" t="n"/>
      <c r="E349" s="78" t="n"/>
    </row>
    <row r="350" ht="25" customHeight="1" s="18">
      <c r="A350" s="101" t="n"/>
      <c r="B350" s="89" t="n"/>
      <c r="C350" s="74" t="n"/>
      <c r="D350" s="74" t="n"/>
      <c r="E350" s="75" t="n"/>
    </row>
    <row r="351" ht="25" customHeight="1" s="18">
      <c r="A351" s="102" t="n"/>
      <c r="B351" s="66" t="n"/>
      <c r="C351" s="77" t="n"/>
      <c r="D351" s="77" t="n"/>
      <c r="E351" s="78" t="n"/>
    </row>
    <row r="352" ht="25" customHeight="1" s="18">
      <c r="A352" s="101" t="n"/>
      <c r="B352" s="89" t="n"/>
      <c r="C352" s="74" t="n"/>
      <c r="D352" s="74" t="n"/>
      <c r="E352" s="75" t="n"/>
    </row>
    <row r="353" ht="25" customHeight="1" s="18">
      <c r="A353" s="102" t="n"/>
      <c r="B353" s="66" t="n"/>
      <c r="C353" s="77" t="n"/>
      <c r="D353" s="77" t="n"/>
      <c r="E353" s="78" t="n"/>
    </row>
    <row r="354" ht="25" customHeight="1" s="18">
      <c r="A354" s="101" t="n"/>
      <c r="B354" s="89" t="n"/>
      <c r="C354" s="74" t="n"/>
      <c r="D354" s="74" t="n"/>
      <c r="E354" s="75" t="n"/>
    </row>
    <row r="355" ht="25" customHeight="1" s="18">
      <c r="A355" s="102" t="n"/>
      <c r="B355" s="66" t="n"/>
      <c r="C355" s="77" t="n"/>
      <c r="D355" s="77" t="n"/>
      <c r="E355" s="78" t="n"/>
    </row>
    <row r="356" ht="25" customHeight="1" s="18">
      <c r="A356" s="101" t="n"/>
      <c r="B356" s="89" t="n"/>
      <c r="C356" s="74" t="n"/>
      <c r="D356" s="74" t="n"/>
      <c r="E356" s="75" t="n"/>
    </row>
    <row r="357" ht="25" customHeight="1" s="18">
      <c r="A357" s="102" t="n"/>
      <c r="B357" s="66" t="n"/>
      <c r="C357" s="77" t="n"/>
      <c r="D357" s="77" t="n"/>
      <c r="E357" s="78" t="n"/>
    </row>
    <row r="358" ht="25" customHeight="1" s="18">
      <c r="A358" s="101" t="n"/>
      <c r="B358" s="89" t="n"/>
      <c r="C358" s="74" t="n"/>
      <c r="D358" s="74" t="n"/>
      <c r="E358" s="75" t="n"/>
    </row>
    <row r="359" ht="25" customHeight="1" s="18">
      <c r="A359" s="102" t="n"/>
      <c r="B359" s="66" t="n"/>
      <c r="C359" s="77" t="n"/>
      <c r="D359" s="77" t="n"/>
      <c r="E359" s="78" t="n"/>
    </row>
    <row r="360" ht="25" customHeight="1" s="18">
      <c r="A360" s="101" t="n"/>
      <c r="B360" s="89" t="n"/>
      <c r="C360" s="74" t="n"/>
      <c r="D360" s="74" t="n"/>
      <c r="E360" s="75" t="n"/>
    </row>
    <row r="361" ht="25" customHeight="1" s="18">
      <c r="A361" s="102" t="n"/>
      <c r="B361" s="66" t="n"/>
      <c r="C361" s="77" t="n"/>
      <c r="D361" s="77" t="n"/>
      <c r="E361" s="78" t="n"/>
    </row>
    <row r="362" ht="25" customHeight="1" s="18">
      <c r="A362" s="101" t="n"/>
      <c r="B362" s="89" t="n"/>
      <c r="C362" s="74" t="n"/>
      <c r="D362" s="74" t="n"/>
      <c r="E362" s="75" t="n"/>
    </row>
    <row r="363" ht="25" customHeight="1" s="18">
      <c r="A363" s="102" t="n"/>
      <c r="B363" s="66" t="n"/>
      <c r="C363" s="77" t="n"/>
      <c r="D363" s="77" t="n"/>
      <c r="E363" s="78" t="n"/>
    </row>
    <row r="364" ht="25" customHeight="1" s="18">
      <c r="A364" s="101" t="n"/>
      <c r="B364" s="89" t="n"/>
      <c r="C364" s="74" t="n"/>
      <c r="D364" s="74" t="n"/>
      <c r="E364" s="75" t="n"/>
    </row>
    <row r="365" ht="25" customHeight="1" s="18">
      <c r="A365" s="102" t="n"/>
      <c r="B365" s="66" t="n"/>
      <c r="C365" s="77" t="n"/>
      <c r="D365" s="77" t="n"/>
      <c r="E365" s="78" t="n"/>
    </row>
    <row r="366" ht="25" customHeight="1" s="18">
      <c r="A366" s="101" t="n"/>
      <c r="B366" s="89" t="n"/>
      <c r="C366" s="74" t="n"/>
      <c r="D366" s="74" t="n"/>
      <c r="E366" s="75" t="n"/>
    </row>
    <row r="367" ht="25" customHeight="1" s="18">
      <c r="A367" s="102" t="n"/>
      <c r="B367" s="66" t="n"/>
      <c r="C367" s="77" t="n"/>
      <c r="D367" s="77" t="n"/>
      <c r="E367" s="78" t="n"/>
    </row>
    <row r="368" ht="25" customHeight="1" s="18">
      <c r="A368" s="101" t="n"/>
      <c r="B368" s="89" t="n"/>
      <c r="C368" s="74" t="n"/>
      <c r="D368" s="74" t="n"/>
      <c r="E368" s="75" t="n"/>
    </row>
    <row r="369" ht="25" customHeight="1" s="18">
      <c r="A369" s="102" t="n"/>
      <c r="B369" s="66" t="n"/>
      <c r="C369" s="77" t="n"/>
      <c r="D369" s="77" t="n"/>
      <c r="E369" s="78" t="n"/>
    </row>
    <row r="370" ht="25" customHeight="1" s="18">
      <c r="A370" s="101" t="n"/>
      <c r="B370" s="89" t="n"/>
      <c r="C370" s="74" t="n"/>
      <c r="D370" s="74" t="n"/>
      <c r="E370" s="75" t="n"/>
    </row>
    <row r="371" ht="25" customHeight="1" s="18">
      <c r="A371" s="102" t="n"/>
      <c r="B371" s="66" t="n"/>
      <c r="C371" s="77" t="n"/>
      <c r="D371" s="77" t="n"/>
      <c r="E371" s="78" t="n"/>
    </row>
    <row r="372" ht="25" customHeight="1" s="18">
      <c r="A372" s="101" t="n"/>
      <c r="B372" s="89" t="n"/>
      <c r="C372" s="74" t="n"/>
      <c r="D372" s="74" t="n"/>
      <c r="E372" s="75" t="n"/>
    </row>
    <row r="373" ht="25" customHeight="1" s="18">
      <c r="A373" s="102" t="n"/>
      <c r="B373" s="66" t="n"/>
      <c r="C373" s="77" t="n"/>
      <c r="D373" s="77" t="n"/>
      <c r="E373" s="78" t="n"/>
    </row>
    <row r="374" ht="25" customHeight="1" s="18">
      <c r="A374" s="101" t="n"/>
      <c r="B374" s="89" t="n"/>
      <c r="C374" s="74" t="n"/>
      <c r="D374" s="74" t="n"/>
      <c r="E374" s="75" t="n"/>
    </row>
    <row r="375" ht="25" customHeight="1" s="18">
      <c r="A375" s="102" t="n"/>
      <c r="B375" s="66" t="n"/>
      <c r="C375" s="77" t="n"/>
      <c r="D375" s="77" t="n"/>
      <c r="E375" s="78" t="n"/>
    </row>
    <row r="376" ht="25" customHeight="1" s="18">
      <c r="A376" s="101" t="n"/>
      <c r="B376" s="89" t="n"/>
      <c r="C376" s="74" t="n"/>
      <c r="D376" s="74" t="n"/>
      <c r="E376" s="75" t="n"/>
    </row>
    <row r="377" ht="25" customHeight="1" s="18">
      <c r="A377" s="102" t="n"/>
      <c r="B377" s="66" t="n"/>
      <c r="C377" s="77" t="n"/>
      <c r="D377" s="77" t="n"/>
      <c r="E377" s="78" t="n"/>
    </row>
    <row r="378" ht="25" customHeight="1" s="18">
      <c r="A378" s="101" t="n"/>
      <c r="B378" s="89" t="n"/>
      <c r="C378" s="74" t="n"/>
      <c r="D378" s="74" t="n"/>
      <c r="E378" s="75" t="n"/>
    </row>
    <row r="379" ht="25" customHeight="1" s="18">
      <c r="A379" s="102" t="n"/>
      <c r="B379" s="66" t="n"/>
      <c r="C379" s="77" t="n"/>
      <c r="D379" s="77" t="n"/>
      <c r="E379" s="78" t="n"/>
    </row>
    <row r="380" ht="25" customHeight="1" s="18">
      <c r="A380" s="101" t="n"/>
      <c r="B380" s="89" t="n"/>
      <c r="C380" s="74" t="n"/>
      <c r="D380" s="74" t="n"/>
      <c r="E380" s="75" t="n"/>
    </row>
    <row r="381" ht="25" customHeight="1" s="18">
      <c r="A381" s="102" t="n"/>
      <c r="B381" s="66" t="n"/>
      <c r="C381" s="77" t="n"/>
      <c r="D381" s="77" t="n"/>
      <c r="E381" s="78" t="n"/>
    </row>
    <row r="382" ht="25" customHeight="1" s="18">
      <c r="A382" s="101" t="n"/>
      <c r="B382" s="89" t="n"/>
      <c r="C382" s="74" t="n"/>
      <c r="D382" s="74" t="n"/>
      <c r="E382" s="75" t="n"/>
    </row>
    <row r="383" ht="25" customHeight="1" s="18">
      <c r="A383" s="102" t="n"/>
      <c r="B383" s="66" t="n"/>
      <c r="C383" s="77" t="n"/>
      <c r="D383" s="77" t="n"/>
      <c r="E383" s="78" t="n"/>
    </row>
    <row r="384" ht="25" customHeight="1" s="18">
      <c r="A384" s="101" t="n"/>
      <c r="B384" s="89" t="n"/>
      <c r="C384" s="74" t="n"/>
      <c r="D384" s="74" t="n"/>
      <c r="E384" s="75" t="n"/>
    </row>
    <row r="385" ht="25" customHeight="1" s="18">
      <c r="A385" s="102" t="n"/>
      <c r="B385" s="66" t="n"/>
      <c r="C385" s="77" t="n"/>
      <c r="D385" s="77" t="n"/>
      <c r="E385" s="78" t="n"/>
    </row>
    <row r="386" ht="25" customHeight="1" s="18">
      <c r="A386" s="101" t="n"/>
      <c r="B386" s="89" t="n"/>
      <c r="C386" s="74" t="n"/>
      <c r="D386" s="74" t="n"/>
      <c r="E386" s="75" t="n"/>
    </row>
    <row r="387" ht="25" customHeight="1" s="18">
      <c r="A387" s="102" t="n"/>
      <c r="B387" s="66" t="n"/>
      <c r="C387" s="77" t="n"/>
      <c r="D387" s="77" t="n"/>
      <c r="E387" s="78" t="n"/>
    </row>
    <row r="388" ht="25" customHeight="1" s="18">
      <c r="A388" s="101" t="n"/>
      <c r="B388" s="89" t="n"/>
      <c r="C388" s="74" t="n"/>
      <c r="D388" s="74" t="n"/>
      <c r="E388" s="75" t="n"/>
    </row>
    <row r="389" ht="25" customHeight="1" s="18">
      <c r="A389" s="102" t="n"/>
      <c r="B389" s="66" t="n"/>
      <c r="C389" s="77" t="n"/>
      <c r="D389" s="77" t="n"/>
      <c r="E389" s="78" t="n"/>
    </row>
    <row r="390" ht="25" customHeight="1" s="18">
      <c r="A390" s="101" t="n"/>
      <c r="B390" s="89" t="n"/>
      <c r="C390" s="74" t="n"/>
      <c r="D390" s="74" t="n"/>
      <c r="E390" s="75" t="n"/>
    </row>
    <row r="391" ht="25" customHeight="1" s="18">
      <c r="A391" s="102" t="n"/>
      <c r="B391" s="66" t="n"/>
      <c r="C391" s="77" t="n"/>
      <c r="D391" s="77" t="n"/>
      <c r="E391" s="78" t="n"/>
    </row>
    <row r="392" ht="25" customHeight="1" s="18">
      <c r="A392" s="101" t="n"/>
      <c r="B392" s="89" t="n"/>
      <c r="C392" s="74" t="n"/>
      <c r="D392" s="74" t="n"/>
      <c r="E392" s="75" t="n"/>
    </row>
    <row r="393" ht="25" customHeight="1" s="18">
      <c r="A393" s="102" t="n"/>
      <c r="B393" s="66" t="n"/>
      <c r="C393" s="77" t="n"/>
      <c r="D393" s="77" t="n"/>
      <c r="E393" s="78" t="n"/>
    </row>
    <row r="394" ht="25" customHeight="1" s="18">
      <c r="A394" s="101" t="n"/>
      <c r="B394" s="89" t="n"/>
      <c r="C394" s="74" t="n"/>
      <c r="D394" s="74" t="n"/>
      <c r="E394" s="75" t="n"/>
    </row>
    <row r="395" ht="25" customHeight="1" s="18">
      <c r="A395" s="102" t="n"/>
      <c r="B395" s="66" t="n"/>
      <c r="C395" s="77" t="n"/>
      <c r="D395" s="77" t="n"/>
      <c r="E395" s="78" t="n"/>
    </row>
    <row r="396" ht="25" customHeight="1" s="18">
      <c r="A396" s="101" t="n"/>
      <c r="B396" s="89" t="n"/>
      <c r="C396" s="74" t="n"/>
      <c r="D396" s="74" t="n"/>
      <c r="E396" s="75" t="n"/>
    </row>
    <row r="397" ht="25" customHeight="1" s="18">
      <c r="A397" s="102" t="n"/>
      <c r="B397" s="66" t="n"/>
      <c r="C397" s="77" t="n"/>
      <c r="D397" s="77" t="n"/>
      <c r="E397" s="78" t="n"/>
    </row>
    <row r="398" ht="25" customHeight="1" s="18">
      <c r="A398" s="101" t="n"/>
      <c r="B398" s="89" t="n"/>
      <c r="C398" s="74" t="n"/>
      <c r="D398" s="74" t="n"/>
      <c r="E398" s="75" t="n"/>
    </row>
    <row r="399" ht="25" customHeight="1" s="18">
      <c r="A399" s="102" t="n"/>
      <c r="B399" s="66" t="n"/>
      <c r="C399" s="77" t="n"/>
      <c r="D399" s="77" t="n"/>
      <c r="E399" s="78" t="n"/>
    </row>
    <row r="400" ht="25" customHeight="1" s="18">
      <c r="A400" s="101" t="n"/>
      <c r="B400" s="89" t="n"/>
      <c r="C400" s="74" t="n"/>
      <c r="D400" s="74" t="n"/>
      <c r="E400" s="75" t="n"/>
    </row>
    <row r="401" ht="25" customHeight="1" s="18">
      <c r="A401" s="102" t="n"/>
      <c r="B401" s="66" t="n"/>
      <c r="C401" s="77" t="n"/>
      <c r="D401" s="77" t="n"/>
      <c r="E401" s="78" t="n"/>
    </row>
    <row r="402" ht="25" customHeight="1" s="18">
      <c r="A402" s="101" t="n"/>
      <c r="B402" s="89" t="n"/>
      <c r="C402" s="74" t="n"/>
      <c r="D402" s="74" t="n"/>
      <c r="E402" s="75" t="n"/>
    </row>
    <row r="403" ht="25" customHeight="1" s="18">
      <c r="A403" s="102" t="n"/>
      <c r="B403" s="66" t="n"/>
      <c r="C403" s="77" t="n"/>
      <c r="D403" s="77" t="n"/>
      <c r="E403" s="78" t="n"/>
    </row>
    <row r="404" ht="25" customHeight="1" s="18">
      <c r="A404" s="101" t="n"/>
      <c r="B404" s="89" t="n"/>
      <c r="C404" s="74" t="n"/>
      <c r="D404" s="74" t="n"/>
      <c r="E404" s="75" t="n"/>
    </row>
    <row r="405" ht="25" customHeight="1" s="18">
      <c r="A405" s="102" t="n"/>
      <c r="B405" s="66" t="n"/>
      <c r="C405" s="77" t="n"/>
      <c r="D405" s="77" t="n"/>
      <c r="E405" s="78" t="n"/>
    </row>
    <row r="406" ht="25" customHeight="1" s="18">
      <c r="A406" s="101" t="n"/>
      <c r="B406" s="89" t="n"/>
      <c r="C406" s="74" t="n"/>
      <c r="D406" s="74" t="n"/>
      <c r="E406" s="75" t="n"/>
    </row>
    <row r="407" ht="25" customHeight="1" s="18">
      <c r="A407" s="102" t="n"/>
      <c r="B407" s="66" t="n"/>
      <c r="C407" s="77" t="n"/>
      <c r="D407" s="77" t="n"/>
      <c r="E407" s="78" t="n"/>
    </row>
    <row r="408" ht="25" customHeight="1" s="18">
      <c r="A408" s="101" t="n"/>
      <c r="B408" s="89" t="n"/>
      <c r="C408" s="74" t="n"/>
      <c r="D408" s="74" t="n"/>
      <c r="E408" s="75" t="n"/>
    </row>
    <row r="409" ht="25" customHeight="1" s="18">
      <c r="A409" s="102" t="n"/>
      <c r="B409" s="66" t="n"/>
      <c r="C409" s="77" t="n"/>
      <c r="D409" s="77" t="n"/>
      <c r="E409" s="78" t="n"/>
    </row>
    <row r="410" ht="25" customHeight="1" s="18">
      <c r="A410" s="101" t="n"/>
      <c r="B410" s="89" t="n"/>
      <c r="C410" s="74" t="n"/>
      <c r="D410" s="74" t="n"/>
      <c r="E410" s="75" t="n"/>
    </row>
    <row r="411" ht="25" customHeight="1" s="18">
      <c r="A411" s="102" t="n"/>
      <c r="B411" s="66" t="n"/>
      <c r="C411" s="77" t="n"/>
      <c r="D411" s="77" t="n"/>
      <c r="E411" s="78" t="n"/>
    </row>
    <row r="412" ht="25" customHeight="1" s="18">
      <c r="A412" s="101" t="n"/>
      <c r="B412" s="89" t="n"/>
      <c r="C412" s="74" t="n"/>
      <c r="D412" s="74" t="n"/>
      <c r="E412" s="75" t="n"/>
    </row>
    <row r="413" ht="25" customHeight="1" s="18">
      <c r="A413" s="102" t="n"/>
      <c r="B413" s="66" t="n"/>
      <c r="C413" s="77" t="n"/>
      <c r="D413" s="77" t="n"/>
      <c r="E413" s="78" t="n"/>
    </row>
    <row r="414" ht="25" customHeight="1" s="18">
      <c r="A414" s="101" t="n"/>
      <c r="B414" s="89" t="n"/>
      <c r="C414" s="74" t="n"/>
      <c r="D414" s="74" t="n"/>
      <c r="E414" s="75" t="n"/>
    </row>
    <row r="415" ht="25" customHeight="1" s="18">
      <c r="A415" s="102" t="n"/>
      <c r="B415" s="66" t="n"/>
      <c r="C415" s="77" t="n"/>
      <c r="D415" s="77" t="n"/>
      <c r="E415" s="78" t="n"/>
    </row>
    <row r="416" ht="25" customHeight="1" s="18">
      <c r="A416" s="101" t="n"/>
      <c r="B416" s="89" t="n"/>
      <c r="C416" s="74" t="n"/>
      <c r="D416" s="74" t="n"/>
      <c r="E416" s="75" t="n"/>
    </row>
    <row r="417" ht="25" customHeight="1" s="18">
      <c r="A417" s="102" t="n"/>
      <c r="B417" s="66" t="n"/>
      <c r="C417" s="77" t="n"/>
      <c r="D417" s="77" t="n"/>
      <c r="E417" s="78" t="n"/>
    </row>
    <row r="418" ht="25" customHeight="1" s="18">
      <c r="A418" s="101" t="n"/>
      <c r="B418" s="89" t="n"/>
      <c r="C418" s="74" t="n"/>
      <c r="D418" s="74" t="n"/>
      <c r="E418" s="75" t="n"/>
    </row>
    <row r="419" ht="25" customHeight="1" s="18">
      <c r="A419" s="102" t="n"/>
      <c r="B419" s="66" t="n"/>
      <c r="C419" s="77" t="n"/>
      <c r="D419" s="77" t="n"/>
      <c r="E419" s="78" t="n"/>
    </row>
    <row r="420" ht="25" customHeight="1" s="18">
      <c r="A420" s="101" t="n"/>
      <c r="B420" s="89" t="n"/>
      <c r="C420" s="74" t="n"/>
      <c r="D420" s="74" t="n"/>
      <c r="E420" s="75" t="n"/>
    </row>
    <row r="421" ht="25" customHeight="1" s="18">
      <c r="A421" s="102" t="n"/>
      <c r="B421" s="66" t="n"/>
      <c r="C421" s="77" t="n"/>
      <c r="D421" s="77" t="n"/>
      <c r="E421" s="78" t="n"/>
    </row>
    <row r="422" ht="25" customHeight="1" s="18">
      <c r="A422" s="101" t="n"/>
      <c r="B422" s="89" t="n"/>
      <c r="C422" s="74" t="n"/>
      <c r="D422" s="74" t="n"/>
      <c r="E422" s="75" t="n"/>
    </row>
    <row r="423" ht="25" customHeight="1" s="18">
      <c r="A423" s="102" t="n"/>
      <c r="B423" s="66" t="n"/>
      <c r="C423" s="77" t="n"/>
      <c r="D423" s="77" t="n"/>
      <c r="E423" s="78" t="n"/>
    </row>
    <row r="424" ht="25" customHeight="1" s="18">
      <c r="A424" s="101" t="n"/>
      <c r="B424" s="89" t="n"/>
      <c r="C424" s="74" t="n"/>
      <c r="D424" s="74" t="n"/>
      <c r="E424" s="75" t="n"/>
    </row>
    <row r="425" ht="25" customHeight="1" s="18">
      <c r="A425" s="102" t="n"/>
      <c r="B425" s="66" t="n"/>
      <c r="C425" s="77" t="n"/>
      <c r="D425" s="77" t="n"/>
      <c r="E425" s="78" t="n"/>
    </row>
    <row r="426" ht="25" customHeight="1" s="18">
      <c r="A426" s="101" t="n"/>
      <c r="B426" s="89" t="n"/>
      <c r="C426" s="74" t="n"/>
      <c r="D426" s="74" t="n"/>
      <c r="E426" s="75" t="n"/>
    </row>
    <row r="427" ht="25" customHeight="1" s="18">
      <c r="A427" s="102" t="n"/>
      <c r="B427" s="66" t="n"/>
      <c r="C427" s="77" t="n"/>
      <c r="D427" s="77" t="n"/>
      <c r="E427" s="78" t="n"/>
    </row>
    <row r="428" ht="25" customHeight="1" s="18">
      <c r="A428" s="101" t="n"/>
      <c r="B428" s="89" t="n"/>
      <c r="C428" s="74" t="n"/>
      <c r="D428" s="74" t="n"/>
      <c r="E428" s="75" t="n"/>
    </row>
    <row r="429" ht="25" customHeight="1" s="18">
      <c r="A429" s="102" t="n"/>
      <c r="B429" s="66" t="n"/>
      <c r="C429" s="77" t="n"/>
      <c r="D429" s="77" t="n"/>
      <c r="E429" s="78" t="n"/>
    </row>
    <row r="430" ht="25" customHeight="1" s="18">
      <c r="A430" s="101" t="n"/>
      <c r="B430" s="89" t="n"/>
      <c r="C430" s="74" t="n"/>
      <c r="D430" s="74" t="n"/>
      <c r="E430" s="75" t="n"/>
    </row>
    <row r="431" ht="25" customHeight="1" s="18">
      <c r="A431" s="102" t="n"/>
      <c r="B431" s="66" t="n"/>
      <c r="C431" s="77" t="n"/>
      <c r="D431" s="77" t="n"/>
      <c r="E431" s="78" t="n"/>
    </row>
    <row r="432" ht="25" customHeight="1" s="18">
      <c r="A432" s="101" t="n"/>
      <c r="B432" s="89" t="n"/>
      <c r="C432" s="74" t="n"/>
      <c r="D432" s="74" t="n"/>
      <c r="E432" s="75" t="n"/>
    </row>
    <row r="433" ht="25" customHeight="1" s="18">
      <c r="A433" s="102" t="n"/>
      <c r="B433" s="66" t="n"/>
      <c r="C433" s="77" t="n"/>
      <c r="D433" s="77" t="n"/>
      <c r="E433" s="78" t="n"/>
    </row>
    <row r="434" ht="25" customHeight="1" s="18">
      <c r="A434" s="101" t="n"/>
      <c r="B434" s="89" t="n"/>
      <c r="C434" s="74" t="n"/>
      <c r="D434" s="74" t="n"/>
      <c r="E434" s="75" t="n"/>
    </row>
    <row r="435" ht="25" customHeight="1" s="18">
      <c r="A435" s="102" t="n"/>
      <c r="B435" s="66" t="n"/>
      <c r="C435" s="77" t="n"/>
      <c r="D435" s="77" t="n"/>
      <c r="E435" s="78" t="n"/>
    </row>
    <row r="436" ht="25" customHeight="1" s="18">
      <c r="A436" s="101" t="n"/>
      <c r="B436" s="89" t="n"/>
      <c r="C436" s="74" t="n"/>
      <c r="D436" s="74" t="n"/>
      <c r="E436" s="75" t="n"/>
    </row>
    <row r="437" ht="25" customHeight="1" s="18">
      <c r="A437" s="102" t="n"/>
      <c r="B437" s="66" t="n"/>
      <c r="C437" s="77" t="n"/>
      <c r="D437" s="77" t="n"/>
      <c r="E437" s="78" t="n"/>
    </row>
    <row r="438" ht="25" customHeight="1" s="18">
      <c r="A438" s="101" t="n"/>
      <c r="B438" s="89" t="n"/>
      <c r="C438" s="74" t="n"/>
      <c r="D438" s="74" t="n"/>
      <c r="E438" s="75" t="n"/>
    </row>
    <row r="439" ht="25" customHeight="1" s="18">
      <c r="A439" s="102" t="n"/>
      <c r="B439" s="66" t="n"/>
      <c r="C439" s="77" t="n"/>
      <c r="D439" s="77" t="n"/>
      <c r="E439" s="78" t="n"/>
    </row>
    <row r="440" ht="25" customHeight="1" s="18">
      <c r="A440" s="101" t="n"/>
      <c r="B440" s="89" t="n"/>
      <c r="C440" s="74" t="n"/>
      <c r="D440" s="74" t="n"/>
      <c r="E440" s="75" t="n"/>
    </row>
    <row r="441" ht="25" customHeight="1" s="18">
      <c r="A441" s="102" t="n"/>
      <c r="B441" s="66" t="n"/>
      <c r="C441" s="77" t="n"/>
      <c r="D441" s="77" t="n"/>
      <c r="E441" s="78" t="n"/>
    </row>
    <row r="442" ht="25" customHeight="1" s="18">
      <c r="A442" s="101" t="n"/>
      <c r="B442" s="89" t="n"/>
      <c r="C442" s="74" t="n"/>
      <c r="D442" s="74" t="n"/>
      <c r="E442" s="75" t="n"/>
    </row>
    <row r="443" ht="25" customHeight="1" s="18">
      <c r="A443" s="102" t="n"/>
      <c r="B443" s="66" t="n"/>
      <c r="C443" s="77" t="n"/>
      <c r="D443" s="77" t="n"/>
      <c r="E443" s="78" t="n"/>
    </row>
    <row r="444" ht="25" customHeight="1" s="18">
      <c r="A444" s="101" t="n"/>
      <c r="B444" s="89" t="n"/>
      <c r="C444" s="74" t="n"/>
      <c r="D444" s="74" t="n"/>
      <c r="E444" s="75" t="n"/>
    </row>
    <row r="445" ht="25" customHeight="1" s="18">
      <c r="A445" s="102" t="n"/>
      <c r="B445" s="66" t="n"/>
      <c r="C445" s="77" t="n"/>
      <c r="D445" s="77" t="n"/>
      <c r="E445" s="78" t="n"/>
    </row>
    <row r="446" ht="25" customHeight="1" s="18">
      <c r="A446" s="101" t="n"/>
      <c r="B446" s="89" t="n"/>
      <c r="C446" s="74" t="n"/>
      <c r="D446" s="74" t="n"/>
      <c r="E446" s="75" t="n"/>
    </row>
    <row r="447" ht="25" customHeight="1" s="18">
      <c r="A447" s="102" t="n"/>
      <c r="B447" s="66" t="n"/>
      <c r="C447" s="77" t="n"/>
      <c r="D447" s="77" t="n"/>
      <c r="E447" s="78" t="n"/>
    </row>
    <row r="448" ht="25" customHeight="1" s="18">
      <c r="A448" s="101" t="n"/>
      <c r="B448" s="89" t="n"/>
      <c r="C448" s="74" t="n"/>
      <c r="D448" s="74" t="n"/>
      <c r="E448" s="75" t="n"/>
    </row>
    <row r="449" ht="25" customHeight="1" s="18">
      <c r="A449" s="102" t="n"/>
      <c r="B449" s="66" t="n"/>
      <c r="C449" s="77" t="n"/>
      <c r="D449" s="77" t="n"/>
      <c r="E449" s="78" t="n"/>
    </row>
    <row r="450" ht="25" customHeight="1" s="18">
      <c r="A450" s="101" t="n"/>
      <c r="B450" s="89" t="n"/>
      <c r="C450" s="74" t="n"/>
      <c r="D450" s="74" t="n"/>
      <c r="E450" s="75" t="n"/>
    </row>
    <row r="451" ht="25" customHeight="1" s="18">
      <c r="A451" s="102" t="n"/>
      <c r="B451" s="66" t="n"/>
      <c r="C451" s="77" t="n"/>
      <c r="D451" s="77" t="n"/>
      <c r="E451" s="78" t="n"/>
    </row>
    <row r="452" ht="25" customHeight="1" s="18">
      <c r="A452" s="101" t="n"/>
      <c r="B452" s="89" t="n"/>
      <c r="C452" s="74" t="n"/>
      <c r="D452" s="74" t="n"/>
      <c r="E452" s="75" t="n"/>
    </row>
    <row r="453" ht="25" customHeight="1" s="18">
      <c r="A453" s="102" t="n"/>
      <c r="B453" s="66" t="n"/>
      <c r="C453" s="77" t="n"/>
      <c r="D453" s="77" t="n"/>
      <c r="E453" s="78" t="n"/>
    </row>
    <row r="454" ht="25" customHeight="1" s="18">
      <c r="A454" s="101" t="n"/>
      <c r="B454" s="89" t="n"/>
      <c r="C454" s="74" t="n"/>
      <c r="D454" s="74" t="n"/>
      <c r="E454" s="75" t="n"/>
    </row>
    <row r="455" ht="25" customHeight="1" s="18">
      <c r="A455" s="102" t="n"/>
      <c r="B455" s="66" t="n"/>
      <c r="C455" s="77" t="n"/>
      <c r="D455" s="77" t="n"/>
      <c r="E455" s="78" t="n"/>
    </row>
    <row r="456" ht="25" customHeight="1" s="18">
      <c r="A456" s="101" t="n"/>
      <c r="B456" s="89" t="n"/>
      <c r="C456" s="74" t="n"/>
      <c r="D456" s="74" t="n"/>
      <c r="E456" s="75" t="n"/>
    </row>
    <row r="457" ht="25" customHeight="1" s="18">
      <c r="A457" s="102" t="n"/>
      <c r="B457" s="66" t="n"/>
      <c r="C457" s="77" t="n"/>
      <c r="D457" s="77" t="n"/>
      <c r="E457" s="78" t="n"/>
    </row>
    <row r="458" ht="25" customHeight="1" s="18">
      <c r="A458" s="101" t="n"/>
      <c r="B458" s="89" t="n"/>
      <c r="C458" s="74" t="n"/>
      <c r="D458" s="74" t="n"/>
      <c r="E458" s="75" t="n"/>
    </row>
    <row r="459" ht="25" customHeight="1" s="18">
      <c r="A459" s="102" t="n"/>
      <c r="B459" s="66" t="n"/>
      <c r="C459" s="77" t="n"/>
      <c r="D459" s="77" t="n"/>
      <c r="E459" s="78" t="n"/>
    </row>
    <row r="460" ht="25" customHeight="1" s="18">
      <c r="A460" s="101" t="n"/>
      <c r="B460" s="89" t="n"/>
      <c r="C460" s="74" t="n"/>
      <c r="D460" s="74" t="n"/>
      <c r="E460" s="75" t="n"/>
    </row>
    <row r="461" ht="25" customHeight="1" s="18">
      <c r="A461" s="102" t="n"/>
      <c r="B461" s="66" t="n"/>
      <c r="C461" s="77" t="n"/>
      <c r="D461" s="77" t="n"/>
      <c r="E461" s="78" t="n"/>
    </row>
    <row r="462" ht="25" customHeight="1" s="18">
      <c r="A462" s="101" t="n"/>
      <c r="B462" s="89" t="n"/>
      <c r="C462" s="74" t="n"/>
      <c r="D462" s="74" t="n"/>
      <c r="E462" s="75" t="n"/>
    </row>
    <row r="463" ht="25" customHeight="1" s="18">
      <c r="A463" s="102" t="n"/>
      <c r="B463" s="66" t="n"/>
      <c r="C463" s="77" t="n"/>
      <c r="D463" s="77" t="n"/>
      <c r="E463" s="78" t="n"/>
    </row>
    <row r="464" ht="25" customHeight="1" s="18">
      <c r="A464" s="101" t="n"/>
      <c r="B464" s="89" t="n"/>
      <c r="C464" s="74" t="n"/>
      <c r="D464" s="74" t="n"/>
      <c r="E464" s="75" t="n"/>
    </row>
    <row r="465" ht="25" customHeight="1" s="18">
      <c r="A465" s="102" t="n"/>
      <c r="B465" s="66" t="n"/>
      <c r="C465" s="77" t="n"/>
      <c r="D465" s="77" t="n"/>
      <c r="E465" s="78" t="n"/>
    </row>
    <row r="466" ht="25" customHeight="1" s="18">
      <c r="A466" s="101" t="n"/>
      <c r="B466" s="89" t="n"/>
      <c r="C466" s="74" t="n"/>
      <c r="D466" s="74" t="n"/>
      <c r="E466" s="75" t="n"/>
    </row>
    <row r="467" ht="25" customHeight="1" s="18">
      <c r="A467" s="102" t="n"/>
      <c r="B467" s="66" t="n"/>
      <c r="C467" s="77" t="n"/>
      <c r="D467" s="77" t="n"/>
      <c r="E467" s="78" t="n"/>
    </row>
    <row r="468" ht="25" customHeight="1" s="18">
      <c r="A468" s="101" t="n"/>
      <c r="B468" s="89" t="n"/>
      <c r="C468" s="74" t="n"/>
      <c r="D468" s="74" t="n"/>
      <c r="E468" s="75" t="n"/>
    </row>
    <row r="469" ht="25" customHeight="1" s="18">
      <c r="A469" s="102" t="n"/>
      <c r="B469" s="66" t="n"/>
      <c r="C469" s="77" t="n"/>
      <c r="D469" s="77" t="n"/>
      <c r="E469" s="78" t="n"/>
    </row>
    <row r="470" ht="25" customHeight="1" s="18">
      <c r="A470" s="101" t="n"/>
      <c r="B470" s="89" t="n"/>
      <c r="C470" s="74" t="n"/>
      <c r="D470" s="74" t="n"/>
      <c r="E470" s="75" t="n"/>
    </row>
    <row r="471" ht="25" customHeight="1" s="18">
      <c r="A471" s="102" t="n"/>
      <c r="B471" s="66" t="n"/>
      <c r="C471" s="77" t="n"/>
      <c r="D471" s="77" t="n"/>
      <c r="E471" s="78" t="n"/>
    </row>
    <row r="472" ht="25" customHeight="1" s="18">
      <c r="A472" s="101" t="n"/>
      <c r="B472" s="89" t="n"/>
      <c r="C472" s="74" t="n"/>
      <c r="D472" s="74" t="n"/>
      <c r="E472" s="75" t="n"/>
    </row>
    <row r="473" ht="25" customHeight="1" s="18">
      <c r="A473" s="102" t="n"/>
      <c r="B473" s="66" t="n"/>
      <c r="C473" s="77" t="n"/>
      <c r="D473" s="77" t="n"/>
      <c r="E473" s="78" t="n"/>
    </row>
    <row r="474" ht="25" customHeight="1" s="18">
      <c r="A474" s="101" t="n"/>
      <c r="B474" s="89" t="n"/>
      <c r="C474" s="74" t="n"/>
      <c r="D474" s="74" t="n"/>
      <c r="E474" s="75" t="n"/>
    </row>
    <row r="475" ht="25" customHeight="1" s="18">
      <c r="A475" s="102" t="n"/>
      <c r="B475" s="66" t="n"/>
      <c r="C475" s="77" t="n"/>
      <c r="D475" s="77" t="n"/>
      <c r="E475" s="78" t="n"/>
    </row>
    <row r="476" ht="25" customHeight="1" s="18">
      <c r="A476" s="101" t="n"/>
      <c r="B476" s="89" t="n"/>
      <c r="C476" s="74" t="n"/>
      <c r="D476" s="74" t="n"/>
      <c r="E476" s="75" t="n"/>
    </row>
    <row r="477" ht="25" customHeight="1" s="18">
      <c r="A477" s="102" t="n"/>
      <c r="B477" s="66" t="n"/>
      <c r="C477" s="77" t="n"/>
      <c r="D477" s="77" t="n"/>
      <c r="E477" s="78" t="n"/>
    </row>
    <row r="478" ht="25" customHeight="1" s="18">
      <c r="A478" s="101" t="n"/>
      <c r="B478" s="89" t="n"/>
      <c r="C478" s="74" t="n"/>
      <c r="D478" s="74" t="n"/>
      <c r="E478" s="75" t="n"/>
    </row>
    <row r="479" ht="25" customHeight="1" s="18">
      <c r="A479" s="102" t="n"/>
      <c r="B479" s="66" t="n"/>
      <c r="C479" s="77" t="n"/>
      <c r="D479" s="77" t="n"/>
      <c r="E479" s="78" t="n"/>
    </row>
    <row r="480" ht="25" customHeight="1" s="18">
      <c r="A480" s="101" t="n"/>
      <c r="B480" s="89" t="n"/>
      <c r="C480" s="74" t="n"/>
      <c r="D480" s="74" t="n"/>
      <c r="E480" s="75" t="n"/>
    </row>
    <row r="481" ht="25" customHeight="1" s="18">
      <c r="A481" s="102" t="n"/>
      <c r="B481" s="66" t="n"/>
      <c r="C481" s="77" t="n"/>
      <c r="D481" s="77" t="n"/>
      <c r="E481" s="78" t="n"/>
    </row>
    <row r="482" ht="25" customHeight="1" s="18">
      <c r="A482" s="101" t="n"/>
      <c r="B482" s="89" t="n"/>
      <c r="C482" s="74" t="n"/>
      <c r="D482" s="74" t="n"/>
      <c r="E482" s="75" t="n"/>
    </row>
    <row r="483" ht="25" customHeight="1" s="18">
      <c r="A483" s="102" t="n"/>
      <c r="B483" s="66" t="n"/>
      <c r="C483" s="77" t="n"/>
      <c r="D483" s="77" t="n"/>
      <c r="E483" s="78" t="n"/>
    </row>
    <row r="484" ht="25" customHeight="1" s="18">
      <c r="A484" s="101" t="n"/>
      <c r="B484" s="89" t="n"/>
      <c r="C484" s="74" t="n"/>
      <c r="D484" s="74" t="n"/>
      <c r="E484" s="75" t="n"/>
    </row>
    <row r="485" ht="25" customHeight="1" s="18">
      <c r="A485" s="102" t="n"/>
      <c r="B485" s="66" t="n"/>
      <c r="C485" s="77" t="n"/>
      <c r="D485" s="77" t="n"/>
      <c r="E485" s="78" t="n"/>
    </row>
    <row r="486" ht="25" customHeight="1" s="18">
      <c r="A486" s="101" t="n"/>
      <c r="B486" s="89" t="n"/>
      <c r="C486" s="74" t="n"/>
      <c r="D486" s="74" t="n"/>
      <c r="E486" s="75" t="n"/>
    </row>
    <row r="487" ht="25" customHeight="1" s="18">
      <c r="A487" s="102" t="n"/>
      <c r="B487" s="66" t="n"/>
      <c r="C487" s="77" t="n"/>
      <c r="D487" s="77" t="n"/>
      <c r="E487" s="78" t="n"/>
    </row>
    <row r="488" ht="25" customHeight="1" s="18">
      <c r="A488" s="101" t="n"/>
      <c r="B488" s="89" t="n"/>
      <c r="C488" s="74" t="n"/>
      <c r="D488" s="74" t="n"/>
      <c r="E488" s="75" t="n"/>
    </row>
    <row r="489" ht="25" customHeight="1" s="18">
      <c r="A489" s="102" t="n"/>
      <c r="B489" s="66" t="n"/>
      <c r="C489" s="77" t="n"/>
      <c r="D489" s="77" t="n"/>
      <c r="E489" s="78" t="n"/>
    </row>
    <row r="490" ht="25" customHeight="1" s="18">
      <c r="A490" s="101" t="n"/>
      <c r="B490" s="89" t="n"/>
      <c r="C490" s="74" t="n"/>
      <c r="D490" s="74" t="n"/>
      <c r="E490" s="75" t="n"/>
    </row>
    <row r="491" ht="25" customHeight="1" s="18">
      <c r="A491" s="102" t="n"/>
      <c r="B491" s="66" t="n"/>
      <c r="C491" s="77" t="n"/>
      <c r="D491" s="77" t="n"/>
      <c r="E491" s="78" t="n"/>
    </row>
    <row r="492" ht="25" customHeight="1" s="18">
      <c r="A492" s="101" t="n"/>
      <c r="B492" s="89" t="n"/>
      <c r="C492" s="74" t="n"/>
      <c r="D492" s="74" t="n"/>
      <c r="E492" s="75" t="n"/>
    </row>
    <row r="493" ht="25" customHeight="1" s="18">
      <c r="A493" s="102" t="n"/>
      <c r="B493" s="66" t="n"/>
      <c r="C493" s="77" t="n"/>
      <c r="D493" s="77" t="n"/>
      <c r="E493" s="78" t="n"/>
    </row>
    <row r="494" ht="25" customHeight="1" s="18">
      <c r="A494" s="101" t="n"/>
      <c r="B494" s="89" t="n"/>
      <c r="C494" s="74" t="n"/>
      <c r="D494" s="74" t="n"/>
      <c r="E494" s="75" t="n"/>
    </row>
    <row r="495" ht="25" customHeight="1" s="18">
      <c r="A495" s="102" t="n"/>
      <c r="B495" s="66" t="n"/>
      <c r="C495" s="77" t="n"/>
      <c r="D495" s="77" t="n"/>
      <c r="E495" s="78" t="n"/>
    </row>
    <row r="496" ht="25" customHeight="1" s="18">
      <c r="A496" s="101" t="n"/>
      <c r="B496" s="89" t="n"/>
      <c r="C496" s="74" t="n"/>
      <c r="D496" s="74" t="n"/>
      <c r="E496" s="75" t="n"/>
    </row>
    <row r="497" ht="25" customHeight="1" s="18">
      <c r="A497" s="102" t="n"/>
      <c r="B497" s="66" t="n"/>
      <c r="C497" s="77" t="n"/>
      <c r="D497" s="77" t="n"/>
      <c r="E497" s="78" t="n"/>
    </row>
    <row r="498" ht="25" customHeight="1" s="18">
      <c r="A498" s="101" t="n"/>
      <c r="B498" s="89" t="n"/>
      <c r="C498" s="74" t="n"/>
      <c r="D498" s="74" t="n"/>
      <c r="E498" s="75" t="n"/>
    </row>
    <row r="499" ht="25" customHeight="1" s="18">
      <c r="A499" s="102" t="n"/>
      <c r="B499" s="66" t="n"/>
      <c r="C499" s="77" t="n"/>
      <c r="D499" s="77" t="n"/>
      <c r="E499" s="78" t="n"/>
    </row>
  </sheetData>
  <conditionalFormatting sqref="D2:D500">
    <cfRule type="expression" priority="1" dxfId="8">
      <formula>D2="Gasto"</formula>
    </cfRule>
    <cfRule type="expression" priority="2" dxfId="7">
      <formula>D2="Ingreso"</formula>
    </cfRule>
  </conditionalFormatting>
  <dataValidations count="3">
    <dataValidation sqref="C2:C500" showDropDown="0" showInputMessage="0" showErrorMessage="0" allowBlank="1" type="list">
      <formula1>'Categorías'!$A$2:$A$15</formula1>
    </dataValidation>
    <dataValidation sqref="D2:D500" showDropDown="0" showInputMessage="0" showErrorMessage="0" allowBlank="1" type="list">
      <formula1>"Ingreso,Gasto"</formula1>
    </dataValidation>
    <dataValidation sqref="A2:A500" showDropDown="0" showInputMessage="0" showErrorMessage="0" allowBlank="1" errorTitle="Fecha no válida" error="Por favor introduce una fecha válida (dd/mm/yyyy) o utiliza el selector de fecha." type="date" operator="greaterThanOrEqual">
      <formula1>DATE(2000,1,1)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 outlineLevelCol="0"/>
  <cols>
    <col width="18" customWidth="1" style="18" min="1" max="1"/>
    <col width="22" customWidth="1" style="18" min="2" max="2"/>
    <col width="22" customWidth="1" style="18" min="3" max="3"/>
    <col width="24" customWidth="1" style="18" min="4" max="4"/>
    <col width="22" customWidth="1" style="18" min="5" max="5"/>
    <col width="24" customWidth="1" style="18" min="6" max="6"/>
    <col width="24" customWidth="1" style="18" min="7" max="7"/>
    <col width="24" customWidth="1" style="18" min="8" max="8"/>
    <col width="24" customWidth="1" style="18" min="9" max="9"/>
    <col width="24" customWidth="1" style="18" min="10" max="10"/>
    <col width="24" customWidth="1" style="18" min="11" max="11"/>
    <col width="24" customWidth="1" style="18" min="12" max="12"/>
    <col width="24" customWidth="1" style="18" min="13" max="13"/>
    <col width="24" customWidth="1" style="18" min="14" max="14"/>
    <col width="24" customWidth="1" style="18" min="15" max="15"/>
    <col width="24" customWidth="1" style="18" min="16" max="16"/>
    <col width="24" customWidth="1" style="18" min="17" max="17"/>
    <col width="24" customWidth="1" style="18" min="18" max="18"/>
  </cols>
  <sheetData>
    <row r="1" ht="35" customHeight="1" s="18">
      <c r="A1" s="25" t="inlineStr">
        <is>
          <t>MATRIZ DE RESUMEN MENSUAL Y ANÁLISIS DE GASTOS 2029</t>
        </is>
      </c>
    </row>
    <row r="2" ht="30" customHeight="1" s="18">
      <c r="A2" s="96" t="inlineStr">
        <is>
          <t>Mes</t>
        </is>
      </c>
      <c r="B2" s="65" t="inlineStr">
        <is>
          <t>Ingresos (€)</t>
        </is>
      </c>
      <c r="C2" s="65" t="inlineStr">
        <is>
          <t>Gastos (€)</t>
        </is>
      </c>
      <c r="D2" s="65" t="inlineStr">
        <is>
          <t>Ahorro Neto (€)</t>
        </is>
      </c>
      <c r="E2" s="96" t="inlineStr">
        <is>
          <t>Tasa de Ahorro (%)</t>
        </is>
      </c>
      <c r="F2" s="65" t="inlineStr">
        <is>
          <t>Vivienda</t>
        </is>
      </c>
      <c r="G2" s="65" t="inlineStr">
        <is>
          <t>Comida y bebida</t>
        </is>
      </c>
      <c r="H2" s="65" t="inlineStr">
        <is>
          <t>Ocio / Viajes</t>
        </is>
      </c>
      <c r="I2" s="65" t="inlineStr">
        <is>
          <t>Ocio / salidas</t>
        </is>
      </c>
      <c r="J2" s="65" t="inlineStr">
        <is>
          <t>Tecnología / Otros</t>
        </is>
      </c>
      <c r="K2" s="65" t="inlineStr">
        <is>
          <t>Transporte / Gasolina</t>
        </is>
      </c>
      <c r="L2" s="65" t="inlineStr">
        <is>
          <t>Ocio / Eventos</t>
        </is>
      </c>
      <c r="M2" s="65" t="inlineStr">
        <is>
          <t>Salud</t>
        </is>
      </c>
      <c r="N2" s="65" t="inlineStr">
        <is>
          <t>Educación</t>
        </is>
      </c>
      <c r="O2" s="65" t="inlineStr">
        <is>
          <t>Ropa</t>
        </is>
      </c>
      <c r="P2" s="65" t="inlineStr">
        <is>
          <t>Suscripciones</t>
        </is>
      </c>
      <c r="Q2" s="65" t="inlineStr">
        <is>
          <t>Mascotas</t>
        </is>
      </c>
      <c r="R2" s="65" t="inlineStr">
        <is>
          <t>Otros</t>
        </is>
      </c>
    </row>
    <row r="3" ht="24" customHeight="1" s="18">
      <c r="A3" s="97" t="inlineStr">
        <is>
          <t>Enero</t>
        </is>
      </c>
      <c r="B3" s="78">
        <f>IF(COUNTIFS('Gastos e Ingresos 2029'!$A:$A, "&gt;="&amp;DATE(2029, 1, 1), 'Gastos e Ingresos 2029'!$A:$A, "&lt;"&amp;DATE(2029, 2, 1))&gt;0, SUMIFS('Gastos e Ingresos 2029'!$E:$E, 'Gastos e Ingresos 2029'!$D:$D, "Ingreso", 'Gastos e Ingresos 2029'!$A:$A, "&gt;="&amp;DATE(2029, 1, 1), 'Gastos e Ingresos 2029'!$A:$A, "&lt;"&amp;DATE(2029, 2, 1)), "")</f>
        <v/>
      </c>
      <c r="C3" s="78">
        <f>IF(COUNTIFS('Gastos e Ingresos 2029'!$A:$A, "&gt;="&amp;DATE(2029, 1, 1), 'Gastos e Ingresos 2029'!$A:$A, "&lt;"&amp;DATE(2029, 2, 1))&gt;0, SUMIFS('Gastos e Ingresos 2029'!$E:$E, 'Gastos e Ingresos 2029'!$D:$D, "Gasto", 'Gastos e Ingresos 2029'!$A:$A, "&gt;="&amp;DATE(2029, 1, 1), 'Gastos e Ingresos 2029'!$A:$A, "&lt;"&amp;DATE(2029, 2, 1)), "")</f>
        <v/>
      </c>
      <c r="D3" s="83">
        <f>IF(B3="","",B3-C3)</f>
        <v/>
      </c>
      <c r="E3" s="98">
        <f>IF(B3="","",IF(B3&gt;0, D3/B3, 0))</f>
        <v/>
      </c>
      <c r="F3" s="78">
        <f>IF(COUNTIFS('Gastos e Ingresos 2029'!$A:$A, "&gt;="&amp;DATE(2029, 1, 1), 'Gastos e Ingresos 2029'!$A:$A, "&lt;"&amp;DATE(2029, 2, 1))&gt;0, SUMIFS('Gastos e Ingresos 2029'!$E:$E, 'Gastos e Ingresos 2029'!$D:$D, "Gasto", 'Gastos e Ingresos 2029'!$C:$C, F$2, 'Gastos e Ingresos 2029'!$A:$A, "&gt;="&amp;DATE(2029, 1, 1), 'Gastos e Ingresos 2029'!$A:$A, "&lt;"&amp;DATE(2029, 2, 1)), "")</f>
        <v/>
      </c>
      <c r="G3" s="78">
        <f>IF(COUNTIFS('Gastos e Ingresos 2029'!$A:$A, "&gt;="&amp;DATE(2029, 1, 1), 'Gastos e Ingresos 2029'!$A:$A, "&lt;"&amp;DATE(2029, 2, 1))&gt;0, SUMIFS('Gastos e Ingresos 2029'!$E:$E, 'Gastos e Ingresos 2029'!$D:$D, "Gasto", 'Gastos e Ingresos 2029'!$C:$C, G$2, 'Gastos e Ingresos 2029'!$A:$A, "&gt;="&amp;DATE(2029, 1, 1), 'Gastos e Ingresos 2029'!$A:$A, "&lt;"&amp;DATE(2029, 2, 1)), "")</f>
        <v/>
      </c>
      <c r="H3" s="78">
        <f>IF(COUNTIFS('Gastos e Ingresos 2029'!$A:$A, "&gt;="&amp;DATE(2029, 1, 1), 'Gastos e Ingresos 2029'!$A:$A, "&lt;"&amp;DATE(2029, 2, 1))&gt;0, SUMIFS('Gastos e Ingresos 2029'!$E:$E, 'Gastos e Ingresos 2029'!$D:$D, "Gasto", 'Gastos e Ingresos 2029'!$C:$C, H$2, 'Gastos e Ingresos 2029'!$A:$A, "&gt;="&amp;DATE(2029, 1, 1), 'Gastos e Ingresos 2029'!$A:$A, "&lt;"&amp;DATE(2029, 2, 1)), "")</f>
        <v/>
      </c>
      <c r="I3" s="78">
        <f>IF(COUNTIFS('Gastos e Ingresos 2029'!$A:$A, "&gt;="&amp;DATE(2029, 1, 1), 'Gastos e Ingresos 2029'!$A:$A, "&lt;"&amp;DATE(2029, 2, 1))&gt;0, SUMIFS('Gastos e Ingresos 2029'!$E:$E, 'Gastos e Ingresos 2029'!$D:$D, "Gasto", 'Gastos e Ingresos 2029'!$C:$C, I$2, 'Gastos e Ingresos 2029'!$A:$A, "&gt;="&amp;DATE(2029, 1, 1), 'Gastos e Ingresos 2029'!$A:$A, "&lt;"&amp;DATE(2029, 2, 1)), "")</f>
        <v/>
      </c>
      <c r="J3" s="78">
        <f>IF(COUNTIFS('Gastos e Ingresos 2029'!$A:$A, "&gt;="&amp;DATE(2029, 1, 1), 'Gastos e Ingresos 2029'!$A:$A, "&lt;"&amp;DATE(2029, 2, 1))&gt;0, SUMIFS('Gastos e Ingresos 2029'!$E:$E, 'Gastos e Ingresos 2029'!$D:$D, "Gasto", 'Gastos e Ingresos 2029'!$C:$C, J$2, 'Gastos e Ingresos 2029'!$A:$A, "&gt;="&amp;DATE(2029, 1, 1), 'Gastos e Ingresos 2029'!$A:$A, "&lt;"&amp;DATE(2029, 2, 1)), "")</f>
        <v/>
      </c>
      <c r="K3" s="78">
        <f>IF(COUNTIFS('Gastos e Ingresos 2029'!$A:$A, "&gt;="&amp;DATE(2029, 1, 1), 'Gastos e Ingresos 2029'!$A:$A, "&lt;"&amp;DATE(2029, 2, 1))&gt;0, SUMIFS('Gastos e Ingresos 2029'!$E:$E, 'Gastos e Ingresos 2029'!$D:$D, "Gasto", 'Gastos e Ingresos 2029'!$C:$C, K$2, 'Gastos e Ingresos 2029'!$A:$A, "&gt;="&amp;DATE(2029, 1, 1), 'Gastos e Ingresos 2029'!$A:$A, "&lt;"&amp;DATE(2029, 2, 1)), "")</f>
        <v/>
      </c>
      <c r="L3" s="78">
        <f>IF(COUNTIFS('Gastos e Ingresos 2029'!$A:$A, "&gt;="&amp;DATE(2029, 1, 1), 'Gastos e Ingresos 2029'!$A:$A, "&lt;"&amp;DATE(2029, 2, 1))&gt;0, SUMIFS('Gastos e Ingresos 2029'!$E:$E, 'Gastos e Ingresos 2029'!$D:$D, "Gasto", 'Gastos e Ingresos 2029'!$C:$C, L$2, 'Gastos e Ingresos 2029'!$A:$A, "&gt;="&amp;DATE(2029, 1, 1), 'Gastos e Ingresos 2029'!$A:$A, "&lt;"&amp;DATE(2029, 2, 1)), "")</f>
        <v/>
      </c>
      <c r="M3" s="78">
        <f>IF(COUNTIFS('Gastos e Ingresos 2029'!$A:$A, "&gt;="&amp;DATE(2029, 1, 1), 'Gastos e Ingresos 2029'!$A:$A, "&lt;"&amp;DATE(2029, 2, 1))&gt;0, SUMIFS('Gastos e Ingresos 2029'!$E:$E, 'Gastos e Ingresos 2029'!$D:$D, "Gasto", 'Gastos e Ingresos 2029'!$C:$C, M$2, 'Gastos e Ingresos 2029'!$A:$A, "&gt;="&amp;DATE(2029, 1, 1), 'Gastos e Ingresos 2029'!$A:$A, "&lt;"&amp;DATE(2029, 2, 1)), "")</f>
        <v/>
      </c>
      <c r="N3" s="78">
        <f>IF(COUNTIFS('Gastos e Ingresos 2029'!$A:$A, "&gt;="&amp;DATE(2029, 1, 1), 'Gastos e Ingresos 2029'!$A:$A, "&lt;"&amp;DATE(2029, 2, 1))&gt;0, SUMIFS('Gastos e Ingresos 2029'!$E:$E, 'Gastos e Ingresos 2029'!$D:$D, "Gasto", 'Gastos e Ingresos 2029'!$C:$C, N$2, 'Gastos e Ingresos 2029'!$A:$A, "&gt;="&amp;DATE(2029, 1, 1), 'Gastos e Ingresos 2029'!$A:$A, "&lt;"&amp;DATE(2029, 2, 1)), "")</f>
        <v/>
      </c>
      <c r="O3" s="78">
        <f>IF(COUNTIFS('Gastos e Ingresos 2029'!$A:$A, "&gt;="&amp;DATE(2029, 1, 1), 'Gastos e Ingresos 2029'!$A:$A, "&lt;"&amp;DATE(2029, 2, 1))&gt;0, SUMIFS('Gastos e Ingresos 2029'!$E:$E, 'Gastos e Ingresos 2029'!$D:$D, "Gasto", 'Gastos e Ingresos 2029'!$C:$C, O$2, 'Gastos e Ingresos 2029'!$A:$A, "&gt;="&amp;DATE(2029, 1, 1), 'Gastos e Ingresos 2029'!$A:$A, "&lt;"&amp;DATE(2029, 2, 1)), "")</f>
        <v/>
      </c>
      <c r="P3" s="78">
        <f>IF(COUNTIFS('Gastos e Ingresos 2029'!$A:$A, "&gt;="&amp;DATE(2029, 1, 1), 'Gastos e Ingresos 2029'!$A:$A, "&lt;"&amp;DATE(2029, 2, 1))&gt;0, SUMIFS('Gastos e Ingresos 2029'!$E:$E, 'Gastos e Ingresos 2029'!$D:$D, "Gasto", 'Gastos e Ingresos 2029'!$C:$C, P$2, 'Gastos e Ingresos 2029'!$A:$A, "&gt;="&amp;DATE(2029, 1, 1), 'Gastos e Ingresos 2029'!$A:$A, "&lt;"&amp;DATE(2029, 2, 1)), "")</f>
        <v/>
      </c>
      <c r="Q3" s="78">
        <f>IF(COUNTIFS('Gastos e Ingresos 2029'!$A:$A, "&gt;="&amp;DATE(2029, 1, 1), 'Gastos e Ingresos 2029'!$A:$A, "&lt;"&amp;DATE(2029, 2, 1))&gt;0, SUMIFS('Gastos e Ingresos 2029'!$E:$E, 'Gastos e Ingresos 2029'!$D:$D, "Gasto", 'Gastos e Ingresos 2029'!$C:$C, Q$2, 'Gastos e Ingresos 2029'!$A:$A, "&gt;="&amp;DATE(2029, 1, 1), 'Gastos e Ingresos 2029'!$A:$A, "&lt;"&amp;DATE(2029, 2, 1)), "")</f>
        <v/>
      </c>
      <c r="R3" s="78">
        <f>IF(COUNTIFS('Gastos e Ingresos 2029'!$A:$A, "&gt;="&amp;DATE(2029, 1, 1), 'Gastos e Ingresos 2029'!$A:$A, "&lt;"&amp;DATE(2029, 2, 1))&gt;0, SUMIFS('Gastos e Ingresos 2029'!$E:$E, 'Gastos e Ingresos 2029'!$D:$D, "Gasto", 'Gastos e Ingresos 2029'!$C:$C, R$2, 'Gastos e Ingresos 2029'!$A:$A, "&gt;="&amp;DATE(2029, 1, 1), 'Gastos e Ingresos 2029'!$A:$A, "&lt;"&amp;DATE(2029, 2, 1)), "")</f>
        <v/>
      </c>
    </row>
    <row r="4" ht="24" customHeight="1" s="18">
      <c r="A4" s="97" t="inlineStr">
        <is>
          <t>Febrero</t>
        </is>
      </c>
      <c r="B4" s="78">
        <f>IF(COUNTIFS('Gastos e Ingresos 2029'!$A:$A, "&gt;="&amp;DATE(2029, 2, 1), 'Gastos e Ingresos 2029'!$A:$A, "&lt;"&amp;DATE(2029, 3, 1))&gt;0, SUMIFS('Gastos e Ingresos 2029'!$E:$E, 'Gastos e Ingresos 2029'!$D:$D, "Ingreso", 'Gastos e Ingresos 2029'!$A:$A, "&gt;="&amp;DATE(2029, 2, 1), 'Gastos e Ingresos 2029'!$A:$A, "&lt;"&amp;DATE(2029, 3, 1)), "")</f>
        <v/>
      </c>
      <c r="C4" s="78">
        <f>IF(COUNTIFS('Gastos e Ingresos 2029'!$A:$A, "&gt;="&amp;DATE(2029, 2, 1), 'Gastos e Ingresos 2029'!$A:$A, "&lt;"&amp;DATE(2029, 3, 1))&gt;0, SUMIFS('Gastos e Ingresos 2029'!$E:$E, 'Gastos e Ingresos 2029'!$D:$D, "Gasto", 'Gastos e Ingresos 2029'!$A:$A, "&gt;="&amp;DATE(2029, 2, 1), 'Gastos e Ingresos 2029'!$A:$A, "&lt;"&amp;DATE(2029, 3, 1)), "")</f>
        <v/>
      </c>
      <c r="D4" s="83">
        <f>IF(B4="","",B4-C4)</f>
        <v/>
      </c>
      <c r="E4" s="98">
        <f>IF(B4="","",IF(B4&gt;0, D4/B4, 0))</f>
        <v/>
      </c>
      <c r="F4" s="75">
        <f>IF(COUNTIFS('Gastos e Ingresos 2029'!$A:$A, "&gt;="&amp;DATE(2029, 2, 1), 'Gastos e Ingresos 2029'!$A:$A, "&lt;"&amp;DATE(2029, 3, 1))&gt;0, SUMIFS('Gastos e Ingresos 2029'!$E:$E, 'Gastos e Ingresos 2029'!$D:$D, "Gasto", 'Gastos e Ingresos 2029'!$C:$C, F$2, 'Gastos e Ingresos 2029'!$A:$A, "&gt;="&amp;DATE(2029, 2, 1), 'Gastos e Ingresos 2029'!$A:$A, "&lt;"&amp;DATE(2029, 3, 1)), "")</f>
        <v/>
      </c>
      <c r="G4" s="75">
        <f>IF(COUNTIFS('Gastos e Ingresos 2029'!$A:$A, "&gt;="&amp;DATE(2029, 2, 1), 'Gastos e Ingresos 2029'!$A:$A, "&lt;"&amp;DATE(2029, 3, 1))&gt;0, SUMIFS('Gastos e Ingresos 2029'!$E:$E, 'Gastos e Ingresos 2029'!$D:$D, "Gasto", 'Gastos e Ingresos 2029'!$C:$C, G$2, 'Gastos e Ingresos 2029'!$A:$A, "&gt;="&amp;DATE(2029, 2, 1), 'Gastos e Ingresos 2029'!$A:$A, "&lt;"&amp;DATE(2029, 3, 1)), "")</f>
        <v/>
      </c>
      <c r="H4" s="75">
        <f>IF(COUNTIFS('Gastos e Ingresos 2029'!$A:$A, "&gt;="&amp;DATE(2029, 2, 1), 'Gastos e Ingresos 2029'!$A:$A, "&lt;"&amp;DATE(2029, 3, 1))&gt;0, SUMIFS('Gastos e Ingresos 2029'!$E:$E, 'Gastos e Ingresos 2029'!$D:$D, "Gasto", 'Gastos e Ingresos 2029'!$C:$C, H$2, 'Gastos e Ingresos 2029'!$A:$A, "&gt;="&amp;DATE(2029, 2, 1), 'Gastos e Ingresos 2029'!$A:$A, "&lt;"&amp;DATE(2029, 3, 1)), "")</f>
        <v/>
      </c>
      <c r="I4" s="75">
        <f>IF(COUNTIFS('Gastos e Ingresos 2029'!$A:$A, "&gt;="&amp;DATE(2029, 2, 1), 'Gastos e Ingresos 2029'!$A:$A, "&lt;"&amp;DATE(2029, 3, 1))&gt;0, SUMIFS('Gastos e Ingresos 2029'!$E:$E, 'Gastos e Ingresos 2029'!$D:$D, "Gasto", 'Gastos e Ingresos 2029'!$C:$C, I$2, 'Gastos e Ingresos 2029'!$A:$A, "&gt;="&amp;DATE(2029, 2, 1), 'Gastos e Ingresos 2029'!$A:$A, "&lt;"&amp;DATE(2029, 3, 1)), "")</f>
        <v/>
      </c>
      <c r="J4" s="75">
        <f>IF(COUNTIFS('Gastos e Ingresos 2029'!$A:$A, "&gt;="&amp;DATE(2029, 2, 1), 'Gastos e Ingresos 2029'!$A:$A, "&lt;"&amp;DATE(2029, 3, 1))&gt;0, SUMIFS('Gastos e Ingresos 2029'!$E:$E, 'Gastos e Ingresos 2029'!$D:$D, "Gasto", 'Gastos e Ingresos 2029'!$C:$C, J$2, 'Gastos e Ingresos 2029'!$A:$A, "&gt;="&amp;DATE(2029, 2, 1), 'Gastos e Ingresos 2029'!$A:$A, "&lt;"&amp;DATE(2029, 3, 1)), "")</f>
        <v/>
      </c>
      <c r="K4" s="75">
        <f>IF(COUNTIFS('Gastos e Ingresos 2029'!$A:$A, "&gt;="&amp;DATE(2029, 2, 1), 'Gastos e Ingresos 2029'!$A:$A, "&lt;"&amp;DATE(2029, 3, 1))&gt;0, SUMIFS('Gastos e Ingresos 2029'!$E:$E, 'Gastos e Ingresos 2029'!$D:$D, "Gasto", 'Gastos e Ingresos 2029'!$C:$C, K$2, 'Gastos e Ingresos 2029'!$A:$A, "&gt;="&amp;DATE(2029, 2, 1), 'Gastos e Ingresos 2029'!$A:$A, "&lt;"&amp;DATE(2029, 3, 1)), "")</f>
        <v/>
      </c>
      <c r="L4" s="75">
        <f>IF(COUNTIFS('Gastos e Ingresos 2029'!$A:$A, "&gt;="&amp;DATE(2029, 2, 1), 'Gastos e Ingresos 2029'!$A:$A, "&lt;"&amp;DATE(2029, 3, 1))&gt;0, SUMIFS('Gastos e Ingresos 2029'!$E:$E, 'Gastos e Ingresos 2029'!$D:$D, "Gasto", 'Gastos e Ingresos 2029'!$C:$C, L$2, 'Gastos e Ingresos 2029'!$A:$A, "&gt;="&amp;DATE(2029, 2, 1), 'Gastos e Ingresos 2029'!$A:$A, "&lt;"&amp;DATE(2029, 3, 1)), "")</f>
        <v/>
      </c>
      <c r="M4" s="75">
        <f>IF(COUNTIFS('Gastos e Ingresos 2029'!$A:$A, "&gt;="&amp;DATE(2029, 2, 1), 'Gastos e Ingresos 2029'!$A:$A, "&lt;"&amp;DATE(2029, 3, 1))&gt;0, SUMIFS('Gastos e Ingresos 2029'!$E:$E, 'Gastos e Ingresos 2029'!$D:$D, "Gasto", 'Gastos e Ingresos 2029'!$C:$C, M$2, 'Gastos e Ingresos 2029'!$A:$A, "&gt;="&amp;DATE(2029, 2, 1), 'Gastos e Ingresos 2029'!$A:$A, "&lt;"&amp;DATE(2029, 3, 1)), "")</f>
        <v/>
      </c>
      <c r="N4" s="75">
        <f>IF(COUNTIFS('Gastos e Ingresos 2029'!$A:$A, "&gt;="&amp;DATE(2029, 2, 1), 'Gastos e Ingresos 2029'!$A:$A, "&lt;"&amp;DATE(2029, 3, 1))&gt;0, SUMIFS('Gastos e Ingresos 2029'!$E:$E, 'Gastos e Ingresos 2029'!$D:$D, "Gasto", 'Gastos e Ingresos 2029'!$C:$C, N$2, 'Gastos e Ingresos 2029'!$A:$A, "&gt;="&amp;DATE(2029, 2, 1), 'Gastos e Ingresos 2029'!$A:$A, "&lt;"&amp;DATE(2029, 3, 1)), "")</f>
        <v/>
      </c>
      <c r="O4" s="75">
        <f>IF(COUNTIFS('Gastos e Ingresos 2029'!$A:$A, "&gt;="&amp;DATE(2029, 2, 1), 'Gastos e Ingresos 2029'!$A:$A, "&lt;"&amp;DATE(2029, 3, 1))&gt;0, SUMIFS('Gastos e Ingresos 2029'!$E:$E, 'Gastos e Ingresos 2029'!$D:$D, "Gasto", 'Gastos e Ingresos 2029'!$C:$C, O$2, 'Gastos e Ingresos 2029'!$A:$A, "&gt;="&amp;DATE(2029, 2, 1), 'Gastos e Ingresos 2029'!$A:$A, "&lt;"&amp;DATE(2029, 3, 1)), "")</f>
        <v/>
      </c>
      <c r="P4" s="75">
        <f>IF(COUNTIFS('Gastos e Ingresos 2029'!$A:$A, "&gt;="&amp;DATE(2029, 2, 1), 'Gastos e Ingresos 2029'!$A:$A, "&lt;"&amp;DATE(2029, 3, 1))&gt;0, SUMIFS('Gastos e Ingresos 2029'!$E:$E, 'Gastos e Ingresos 2029'!$D:$D, "Gasto", 'Gastos e Ingresos 2029'!$C:$C, P$2, 'Gastos e Ingresos 2029'!$A:$A, "&gt;="&amp;DATE(2029, 2, 1), 'Gastos e Ingresos 2029'!$A:$A, "&lt;"&amp;DATE(2029, 3, 1)), "")</f>
        <v/>
      </c>
      <c r="Q4" s="75">
        <f>IF(COUNTIFS('Gastos e Ingresos 2029'!$A:$A, "&gt;="&amp;DATE(2029, 2, 1), 'Gastos e Ingresos 2029'!$A:$A, "&lt;"&amp;DATE(2029, 3, 1))&gt;0, SUMIFS('Gastos e Ingresos 2029'!$E:$E, 'Gastos e Ingresos 2029'!$D:$D, "Gasto", 'Gastos e Ingresos 2029'!$C:$C, Q$2, 'Gastos e Ingresos 2029'!$A:$A, "&gt;="&amp;DATE(2029, 2, 1), 'Gastos e Ingresos 2029'!$A:$A, "&lt;"&amp;DATE(2029, 3, 1)), "")</f>
        <v/>
      </c>
      <c r="R4" s="75">
        <f>IF(COUNTIFS('Gastos e Ingresos 2029'!$A:$A, "&gt;="&amp;DATE(2029, 2, 1), 'Gastos e Ingresos 2029'!$A:$A, "&lt;"&amp;DATE(2029, 3, 1))&gt;0, SUMIFS('Gastos e Ingresos 2029'!$E:$E, 'Gastos e Ingresos 2029'!$D:$D, "Gasto", 'Gastos e Ingresos 2029'!$C:$C, R$2, 'Gastos e Ingresos 2029'!$A:$A, "&gt;="&amp;DATE(2029, 2, 1), 'Gastos e Ingresos 2029'!$A:$A, "&lt;"&amp;DATE(2029, 3, 1)), "")</f>
        <v/>
      </c>
    </row>
    <row r="5" ht="24" customHeight="1" s="18">
      <c r="A5" s="97" t="inlineStr">
        <is>
          <t>Marzo</t>
        </is>
      </c>
      <c r="B5" s="78">
        <f>IF(COUNTIFS('Gastos e Ingresos 2029'!$A:$A, "&gt;="&amp;DATE(2029, 3, 1), 'Gastos e Ingresos 2029'!$A:$A, "&lt;"&amp;DATE(2029, 4, 1))&gt;0, SUMIFS('Gastos e Ingresos 2029'!$E:$E, 'Gastos e Ingresos 2029'!$D:$D, "Ingreso", 'Gastos e Ingresos 2029'!$A:$A, "&gt;="&amp;DATE(2029, 3, 1), 'Gastos e Ingresos 2029'!$A:$A, "&lt;"&amp;DATE(2029, 4, 1)), "")</f>
        <v/>
      </c>
      <c r="C5" s="78">
        <f>IF(COUNTIFS('Gastos e Ingresos 2029'!$A:$A, "&gt;="&amp;DATE(2029, 3, 1), 'Gastos e Ingresos 2029'!$A:$A, "&lt;"&amp;DATE(2029, 4, 1))&gt;0, SUMIFS('Gastos e Ingresos 2029'!$E:$E, 'Gastos e Ingresos 2029'!$D:$D, "Gasto", 'Gastos e Ingresos 2029'!$A:$A, "&gt;="&amp;DATE(2029, 3, 1), 'Gastos e Ingresos 2029'!$A:$A, "&lt;"&amp;DATE(2029, 4, 1)), "")</f>
        <v/>
      </c>
      <c r="D5" s="83">
        <f>IF(B5="","",B5-C5)</f>
        <v/>
      </c>
      <c r="E5" s="98">
        <f>IF(B5="","",IF(B5&gt;0, D5/B5, 0))</f>
        <v/>
      </c>
      <c r="F5" s="78">
        <f>IF(COUNTIFS('Gastos e Ingresos 2029'!$A:$A, "&gt;="&amp;DATE(2029, 3, 1), 'Gastos e Ingresos 2029'!$A:$A, "&lt;"&amp;DATE(2029, 4, 1))&gt;0, SUMIFS('Gastos e Ingresos 2029'!$E:$E, 'Gastos e Ingresos 2029'!$D:$D, "Gasto", 'Gastos e Ingresos 2029'!$C:$C, F$2, 'Gastos e Ingresos 2029'!$A:$A, "&gt;="&amp;DATE(2029, 3, 1), 'Gastos e Ingresos 2029'!$A:$A, "&lt;"&amp;DATE(2029, 4, 1)), "")</f>
        <v/>
      </c>
      <c r="G5" s="78">
        <f>IF(COUNTIFS('Gastos e Ingresos 2029'!$A:$A, "&gt;="&amp;DATE(2029, 3, 1), 'Gastos e Ingresos 2029'!$A:$A, "&lt;"&amp;DATE(2029, 4, 1))&gt;0, SUMIFS('Gastos e Ingresos 2029'!$E:$E, 'Gastos e Ingresos 2029'!$D:$D, "Gasto", 'Gastos e Ingresos 2029'!$C:$C, G$2, 'Gastos e Ingresos 2029'!$A:$A, "&gt;="&amp;DATE(2029, 3, 1), 'Gastos e Ingresos 2029'!$A:$A, "&lt;"&amp;DATE(2029, 4, 1)), "")</f>
        <v/>
      </c>
      <c r="H5" s="78">
        <f>IF(COUNTIFS('Gastos e Ingresos 2029'!$A:$A, "&gt;="&amp;DATE(2029, 3, 1), 'Gastos e Ingresos 2029'!$A:$A, "&lt;"&amp;DATE(2029, 4, 1))&gt;0, SUMIFS('Gastos e Ingresos 2029'!$E:$E, 'Gastos e Ingresos 2029'!$D:$D, "Gasto", 'Gastos e Ingresos 2029'!$C:$C, H$2, 'Gastos e Ingresos 2029'!$A:$A, "&gt;="&amp;DATE(2029, 3, 1), 'Gastos e Ingresos 2029'!$A:$A, "&lt;"&amp;DATE(2029, 4, 1)), "")</f>
        <v/>
      </c>
      <c r="I5" s="78">
        <f>IF(COUNTIFS('Gastos e Ingresos 2029'!$A:$A, "&gt;="&amp;DATE(2029, 3, 1), 'Gastos e Ingresos 2029'!$A:$A, "&lt;"&amp;DATE(2029, 4, 1))&gt;0, SUMIFS('Gastos e Ingresos 2029'!$E:$E, 'Gastos e Ingresos 2029'!$D:$D, "Gasto", 'Gastos e Ingresos 2029'!$C:$C, I$2, 'Gastos e Ingresos 2029'!$A:$A, "&gt;="&amp;DATE(2029, 3, 1), 'Gastos e Ingresos 2029'!$A:$A, "&lt;"&amp;DATE(2029, 4, 1)), "")</f>
        <v/>
      </c>
      <c r="J5" s="78">
        <f>IF(COUNTIFS('Gastos e Ingresos 2029'!$A:$A, "&gt;="&amp;DATE(2029, 3, 1), 'Gastos e Ingresos 2029'!$A:$A, "&lt;"&amp;DATE(2029, 4, 1))&gt;0, SUMIFS('Gastos e Ingresos 2029'!$E:$E, 'Gastos e Ingresos 2029'!$D:$D, "Gasto", 'Gastos e Ingresos 2029'!$C:$C, J$2, 'Gastos e Ingresos 2029'!$A:$A, "&gt;="&amp;DATE(2029, 3, 1), 'Gastos e Ingresos 2029'!$A:$A, "&lt;"&amp;DATE(2029, 4, 1)), "")</f>
        <v/>
      </c>
      <c r="K5" s="78">
        <f>IF(COUNTIFS('Gastos e Ingresos 2029'!$A:$A, "&gt;="&amp;DATE(2029, 3, 1), 'Gastos e Ingresos 2029'!$A:$A, "&lt;"&amp;DATE(2029, 4, 1))&gt;0, SUMIFS('Gastos e Ingresos 2029'!$E:$E, 'Gastos e Ingresos 2029'!$D:$D, "Gasto", 'Gastos e Ingresos 2029'!$C:$C, K$2, 'Gastos e Ingresos 2029'!$A:$A, "&gt;="&amp;DATE(2029, 3, 1), 'Gastos e Ingresos 2029'!$A:$A, "&lt;"&amp;DATE(2029, 4, 1)), "")</f>
        <v/>
      </c>
      <c r="L5" s="78">
        <f>IF(COUNTIFS('Gastos e Ingresos 2029'!$A:$A, "&gt;="&amp;DATE(2029, 3, 1), 'Gastos e Ingresos 2029'!$A:$A, "&lt;"&amp;DATE(2029, 4, 1))&gt;0, SUMIFS('Gastos e Ingresos 2029'!$E:$E, 'Gastos e Ingresos 2029'!$D:$D, "Gasto", 'Gastos e Ingresos 2029'!$C:$C, L$2, 'Gastos e Ingresos 2029'!$A:$A, "&gt;="&amp;DATE(2029, 3, 1), 'Gastos e Ingresos 2029'!$A:$A, "&lt;"&amp;DATE(2029, 4, 1)), "")</f>
        <v/>
      </c>
      <c r="M5" s="78">
        <f>IF(COUNTIFS('Gastos e Ingresos 2029'!$A:$A, "&gt;="&amp;DATE(2029, 3, 1), 'Gastos e Ingresos 2029'!$A:$A, "&lt;"&amp;DATE(2029, 4, 1))&gt;0, SUMIFS('Gastos e Ingresos 2029'!$E:$E, 'Gastos e Ingresos 2029'!$D:$D, "Gasto", 'Gastos e Ingresos 2029'!$C:$C, M$2, 'Gastos e Ingresos 2029'!$A:$A, "&gt;="&amp;DATE(2029, 3, 1), 'Gastos e Ingresos 2029'!$A:$A, "&lt;"&amp;DATE(2029, 4, 1)), "")</f>
        <v/>
      </c>
      <c r="N5" s="78">
        <f>IF(COUNTIFS('Gastos e Ingresos 2029'!$A:$A, "&gt;="&amp;DATE(2029, 3, 1), 'Gastos e Ingresos 2029'!$A:$A, "&lt;"&amp;DATE(2029, 4, 1))&gt;0, SUMIFS('Gastos e Ingresos 2029'!$E:$E, 'Gastos e Ingresos 2029'!$D:$D, "Gasto", 'Gastos e Ingresos 2029'!$C:$C, N$2, 'Gastos e Ingresos 2029'!$A:$A, "&gt;="&amp;DATE(2029, 3, 1), 'Gastos e Ingresos 2029'!$A:$A, "&lt;"&amp;DATE(2029, 4, 1)), "")</f>
        <v/>
      </c>
      <c r="O5" s="78">
        <f>IF(COUNTIFS('Gastos e Ingresos 2029'!$A:$A, "&gt;="&amp;DATE(2029, 3, 1), 'Gastos e Ingresos 2029'!$A:$A, "&lt;"&amp;DATE(2029, 4, 1))&gt;0, SUMIFS('Gastos e Ingresos 2029'!$E:$E, 'Gastos e Ingresos 2029'!$D:$D, "Gasto", 'Gastos e Ingresos 2029'!$C:$C, O$2, 'Gastos e Ingresos 2029'!$A:$A, "&gt;="&amp;DATE(2029, 3, 1), 'Gastos e Ingresos 2029'!$A:$A, "&lt;"&amp;DATE(2029, 4, 1)), "")</f>
        <v/>
      </c>
      <c r="P5" s="78">
        <f>IF(COUNTIFS('Gastos e Ingresos 2029'!$A:$A, "&gt;="&amp;DATE(2029, 3, 1), 'Gastos e Ingresos 2029'!$A:$A, "&lt;"&amp;DATE(2029, 4, 1))&gt;0, SUMIFS('Gastos e Ingresos 2029'!$E:$E, 'Gastos e Ingresos 2029'!$D:$D, "Gasto", 'Gastos e Ingresos 2029'!$C:$C, P$2, 'Gastos e Ingresos 2029'!$A:$A, "&gt;="&amp;DATE(2029, 3, 1), 'Gastos e Ingresos 2029'!$A:$A, "&lt;"&amp;DATE(2029, 4, 1)), "")</f>
        <v/>
      </c>
      <c r="Q5" s="78">
        <f>IF(COUNTIFS('Gastos e Ingresos 2029'!$A:$A, "&gt;="&amp;DATE(2029, 3, 1), 'Gastos e Ingresos 2029'!$A:$A, "&lt;"&amp;DATE(2029, 4, 1))&gt;0, SUMIFS('Gastos e Ingresos 2029'!$E:$E, 'Gastos e Ingresos 2029'!$D:$D, "Gasto", 'Gastos e Ingresos 2029'!$C:$C, Q$2, 'Gastos e Ingresos 2029'!$A:$A, "&gt;="&amp;DATE(2029, 3, 1), 'Gastos e Ingresos 2029'!$A:$A, "&lt;"&amp;DATE(2029, 4, 1)), "")</f>
        <v/>
      </c>
      <c r="R5" s="78">
        <f>IF(COUNTIFS('Gastos e Ingresos 2029'!$A:$A, "&gt;="&amp;DATE(2029, 3, 1), 'Gastos e Ingresos 2029'!$A:$A, "&lt;"&amp;DATE(2029, 4, 1))&gt;0, SUMIFS('Gastos e Ingresos 2029'!$E:$E, 'Gastos e Ingresos 2029'!$D:$D, "Gasto", 'Gastos e Ingresos 2029'!$C:$C, R$2, 'Gastos e Ingresos 2029'!$A:$A, "&gt;="&amp;DATE(2029, 3, 1), 'Gastos e Ingresos 2029'!$A:$A, "&lt;"&amp;DATE(2029, 4, 1)), "")</f>
        <v/>
      </c>
    </row>
    <row r="6" ht="24" customHeight="1" s="18">
      <c r="A6" s="97" t="inlineStr">
        <is>
          <t>Abril</t>
        </is>
      </c>
      <c r="B6" s="78">
        <f>IF(COUNTIFS('Gastos e Ingresos 2029'!$A:$A, "&gt;="&amp;DATE(2029, 4, 1), 'Gastos e Ingresos 2029'!$A:$A, "&lt;"&amp;DATE(2029, 5, 1))&gt;0, SUMIFS('Gastos e Ingresos 2029'!$E:$E, 'Gastos e Ingresos 2029'!$D:$D, "Ingreso", 'Gastos e Ingresos 2029'!$A:$A, "&gt;="&amp;DATE(2029, 4, 1), 'Gastos e Ingresos 2029'!$A:$A, "&lt;"&amp;DATE(2029, 5, 1)), "")</f>
        <v/>
      </c>
      <c r="C6" s="78">
        <f>IF(COUNTIFS('Gastos e Ingresos 2029'!$A:$A, "&gt;="&amp;DATE(2029, 4, 1), 'Gastos e Ingresos 2029'!$A:$A, "&lt;"&amp;DATE(2029, 5, 1))&gt;0, SUMIFS('Gastos e Ingresos 2029'!$E:$E, 'Gastos e Ingresos 2029'!$D:$D, "Gasto", 'Gastos e Ingresos 2029'!$A:$A, "&gt;="&amp;DATE(2029, 4, 1), 'Gastos e Ingresos 2029'!$A:$A, "&lt;"&amp;DATE(2029, 5, 1)), "")</f>
        <v/>
      </c>
      <c r="D6" s="83">
        <f>IF(B6="","",B6-C6)</f>
        <v/>
      </c>
      <c r="E6" s="98">
        <f>IF(B6="","",IF(B6&gt;0, D6/B6, 0))</f>
        <v/>
      </c>
      <c r="F6" s="75">
        <f>IF(COUNTIFS('Gastos e Ingresos 2029'!$A:$A, "&gt;="&amp;DATE(2029, 4, 1), 'Gastos e Ingresos 2029'!$A:$A, "&lt;"&amp;DATE(2029, 5, 1))&gt;0, SUMIFS('Gastos e Ingresos 2029'!$E:$E, 'Gastos e Ingresos 2029'!$D:$D, "Gasto", 'Gastos e Ingresos 2029'!$C:$C, F$2, 'Gastos e Ingresos 2029'!$A:$A, "&gt;="&amp;DATE(2029, 4, 1), 'Gastos e Ingresos 2029'!$A:$A, "&lt;"&amp;DATE(2029, 5, 1)), "")</f>
        <v/>
      </c>
      <c r="G6" s="75">
        <f>IF(COUNTIFS('Gastos e Ingresos 2029'!$A:$A, "&gt;="&amp;DATE(2029, 4, 1), 'Gastos e Ingresos 2029'!$A:$A, "&lt;"&amp;DATE(2029, 5, 1))&gt;0, SUMIFS('Gastos e Ingresos 2029'!$E:$E, 'Gastos e Ingresos 2029'!$D:$D, "Gasto", 'Gastos e Ingresos 2029'!$C:$C, G$2, 'Gastos e Ingresos 2029'!$A:$A, "&gt;="&amp;DATE(2029, 4, 1), 'Gastos e Ingresos 2029'!$A:$A, "&lt;"&amp;DATE(2029, 5, 1)), "")</f>
        <v/>
      </c>
      <c r="H6" s="75">
        <f>IF(COUNTIFS('Gastos e Ingresos 2029'!$A:$A, "&gt;="&amp;DATE(2029, 4, 1), 'Gastos e Ingresos 2029'!$A:$A, "&lt;"&amp;DATE(2029, 5, 1))&gt;0, SUMIFS('Gastos e Ingresos 2029'!$E:$E, 'Gastos e Ingresos 2029'!$D:$D, "Gasto", 'Gastos e Ingresos 2029'!$C:$C, H$2, 'Gastos e Ingresos 2029'!$A:$A, "&gt;="&amp;DATE(2029, 4, 1), 'Gastos e Ingresos 2029'!$A:$A, "&lt;"&amp;DATE(2029, 5, 1)), "")</f>
        <v/>
      </c>
      <c r="I6" s="75">
        <f>IF(COUNTIFS('Gastos e Ingresos 2029'!$A:$A, "&gt;="&amp;DATE(2029, 4, 1), 'Gastos e Ingresos 2029'!$A:$A, "&lt;"&amp;DATE(2029, 5, 1))&gt;0, SUMIFS('Gastos e Ingresos 2029'!$E:$E, 'Gastos e Ingresos 2029'!$D:$D, "Gasto", 'Gastos e Ingresos 2029'!$C:$C, I$2, 'Gastos e Ingresos 2029'!$A:$A, "&gt;="&amp;DATE(2029, 4, 1), 'Gastos e Ingresos 2029'!$A:$A, "&lt;"&amp;DATE(2029, 5, 1)), "")</f>
        <v/>
      </c>
      <c r="J6" s="75">
        <f>IF(COUNTIFS('Gastos e Ingresos 2029'!$A:$A, "&gt;="&amp;DATE(2029, 4, 1), 'Gastos e Ingresos 2029'!$A:$A, "&lt;"&amp;DATE(2029, 5, 1))&gt;0, SUMIFS('Gastos e Ingresos 2029'!$E:$E, 'Gastos e Ingresos 2029'!$D:$D, "Gasto", 'Gastos e Ingresos 2029'!$C:$C, J$2, 'Gastos e Ingresos 2029'!$A:$A, "&gt;="&amp;DATE(2029, 4, 1), 'Gastos e Ingresos 2029'!$A:$A, "&lt;"&amp;DATE(2029, 5, 1)), "")</f>
        <v/>
      </c>
      <c r="K6" s="75">
        <f>IF(COUNTIFS('Gastos e Ingresos 2029'!$A:$A, "&gt;="&amp;DATE(2029, 4, 1), 'Gastos e Ingresos 2029'!$A:$A, "&lt;"&amp;DATE(2029, 5, 1))&gt;0, SUMIFS('Gastos e Ingresos 2029'!$E:$E, 'Gastos e Ingresos 2029'!$D:$D, "Gasto", 'Gastos e Ingresos 2029'!$C:$C, K$2, 'Gastos e Ingresos 2029'!$A:$A, "&gt;="&amp;DATE(2029, 4, 1), 'Gastos e Ingresos 2029'!$A:$A, "&lt;"&amp;DATE(2029, 5, 1)), "")</f>
        <v/>
      </c>
      <c r="L6" s="75">
        <f>IF(COUNTIFS('Gastos e Ingresos 2029'!$A:$A, "&gt;="&amp;DATE(2029, 4, 1), 'Gastos e Ingresos 2029'!$A:$A, "&lt;"&amp;DATE(2029, 5, 1))&gt;0, SUMIFS('Gastos e Ingresos 2029'!$E:$E, 'Gastos e Ingresos 2029'!$D:$D, "Gasto", 'Gastos e Ingresos 2029'!$C:$C, L$2, 'Gastos e Ingresos 2029'!$A:$A, "&gt;="&amp;DATE(2029, 4, 1), 'Gastos e Ingresos 2029'!$A:$A, "&lt;"&amp;DATE(2029, 5, 1)), "")</f>
        <v/>
      </c>
      <c r="M6" s="75">
        <f>IF(COUNTIFS('Gastos e Ingresos 2029'!$A:$A, "&gt;="&amp;DATE(2029, 4, 1), 'Gastos e Ingresos 2029'!$A:$A, "&lt;"&amp;DATE(2029, 5, 1))&gt;0, SUMIFS('Gastos e Ingresos 2029'!$E:$E, 'Gastos e Ingresos 2029'!$D:$D, "Gasto", 'Gastos e Ingresos 2029'!$C:$C, M$2, 'Gastos e Ingresos 2029'!$A:$A, "&gt;="&amp;DATE(2029, 4, 1), 'Gastos e Ingresos 2029'!$A:$A, "&lt;"&amp;DATE(2029, 5, 1)), "")</f>
        <v/>
      </c>
      <c r="N6" s="75">
        <f>IF(COUNTIFS('Gastos e Ingresos 2029'!$A:$A, "&gt;="&amp;DATE(2029, 4, 1), 'Gastos e Ingresos 2029'!$A:$A, "&lt;"&amp;DATE(2029, 5, 1))&gt;0, SUMIFS('Gastos e Ingresos 2029'!$E:$E, 'Gastos e Ingresos 2029'!$D:$D, "Gasto", 'Gastos e Ingresos 2029'!$C:$C, N$2, 'Gastos e Ingresos 2029'!$A:$A, "&gt;="&amp;DATE(2029, 4, 1), 'Gastos e Ingresos 2029'!$A:$A, "&lt;"&amp;DATE(2029, 5, 1)), "")</f>
        <v/>
      </c>
      <c r="O6" s="75">
        <f>IF(COUNTIFS('Gastos e Ingresos 2029'!$A:$A, "&gt;="&amp;DATE(2029, 4, 1), 'Gastos e Ingresos 2029'!$A:$A, "&lt;"&amp;DATE(2029, 5, 1))&gt;0, SUMIFS('Gastos e Ingresos 2029'!$E:$E, 'Gastos e Ingresos 2029'!$D:$D, "Gasto", 'Gastos e Ingresos 2029'!$C:$C, O$2, 'Gastos e Ingresos 2029'!$A:$A, "&gt;="&amp;DATE(2029, 4, 1), 'Gastos e Ingresos 2029'!$A:$A, "&lt;"&amp;DATE(2029, 5, 1)), "")</f>
        <v/>
      </c>
      <c r="P6" s="75">
        <f>IF(COUNTIFS('Gastos e Ingresos 2029'!$A:$A, "&gt;="&amp;DATE(2029, 4, 1), 'Gastos e Ingresos 2029'!$A:$A, "&lt;"&amp;DATE(2029, 5, 1))&gt;0, SUMIFS('Gastos e Ingresos 2029'!$E:$E, 'Gastos e Ingresos 2029'!$D:$D, "Gasto", 'Gastos e Ingresos 2029'!$C:$C, P$2, 'Gastos e Ingresos 2029'!$A:$A, "&gt;="&amp;DATE(2029, 4, 1), 'Gastos e Ingresos 2029'!$A:$A, "&lt;"&amp;DATE(2029, 5, 1)), "")</f>
        <v/>
      </c>
      <c r="Q6" s="75">
        <f>IF(COUNTIFS('Gastos e Ingresos 2029'!$A:$A, "&gt;="&amp;DATE(2029, 4, 1), 'Gastos e Ingresos 2029'!$A:$A, "&lt;"&amp;DATE(2029, 5, 1))&gt;0, SUMIFS('Gastos e Ingresos 2029'!$E:$E, 'Gastos e Ingresos 2029'!$D:$D, "Gasto", 'Gastos e Ingresos 2029'!$C:$C, Q$2, 'Gastos e Ingresos 2029'!$A:$A, "&gt;="&amp;DATE(2029, 4, 1), 'Gastos e Ingresos 2029'!$A:$A, "&lt;"&amp;DATE(2029, 5, 1)), "")</f>
        <v/>
      </c>
      <c r="R6" s="75">
        <f>IF(COUNTIFS('Gastos e Ingresos 2029'!$A:$A, "&gt;="&amp;DATE(2029, 4, 1), 'Gastos e Ingresos 2029'!$A:$A, "&lt;"&amp;DATE(2029, 5, 1))&gt;0, SUMIFS('Gastos e Ingresos 2029'!$E:$E, 'Gastos e Ingresos 2029'!$D:$D, "Gasto", 'Gastos e Ingresos 2029'!$C:$C, R$2, 'Gastos e Ingresos 2029'!$A:$A, "&gt;="&amp;DATE(2029, 4, 1), 'Gastos e Ingresos 2029'!$A:$A, "&lt;"&amp;DATE(2029, 5, 1)), "")</f>
        <v/>
      </c>
    </row>
    <row r="7" ht="24" customHeight="1" s="18">
      <c r="A7" s="97" t="inlineStr">
        <is>
          <t>Mayo</t>
        </is>
      </c>
      <c r="B7" s="78">
        <f>IF(COUNTIFS('Gastos e Ingresos 2029'!$A:$A, "&gt;="&amp;DATE(2029, 5, 1), 'Gastos e Ingresos 2029'!$A:$A, "&lt;"&amp;DATE(2029, 6, 1))&gt;0, SUMIFS('Gastos e Ingresos 2029'!$E:$E, 'Gastos e Ingresos 2029'!$D:$D, "Ingreso", 'Gastos e Ingresos 2029'!$A:$A, "&gt;="&amp;DATE(2029, 5, 1), 'Gastos e Ingresos 2029'!$A:$A, "&lt;"&amp;DATE(2029, 6, 1)), "")</f>
        <v/>
      </c>
      <c r="C7" s="78">
        <f>IF(COUNTIFS('Gastos e Ingresos 2029'!$A:$A, "&gt;="&amp;DATE(2029, 5, 1), 'Gastos e Ingresos 2029'!$A:$A, "&lt;"&amp;DATE(2029, 6, 1))&gt;0, SUMIFS('Gastos e Ingresos 2029'!$E:$E, 'Gastos e Ingresos 2029'!$D:$D, "Gasto", 'Gastos e Ingresos 2029'!$A:$A, "&gt;="&amp;DATE(2029, 5, 1), 'Gastos e Ingresos 2029'!$A:$A, "&lt;"&amp;DATE(2029, 6, 1)), "")</f>
        <v/>
      </c>
      <c r="D7" s="83">
        <f>IF(B7="","",B7-C7)</f>
        <v/>
      </c>
      <c r="E7" s="98">
        <f>IF(B7="","",IF(B7&gt;0, D7/B7, 0))</f>
        <v/>
      </c>
      <c r="F7" s="78">
        <f>IF(COUNTIFS('Gastos e Ingresos 2029'!$A:$A, "&gt;="&amp;DATE(2029, 5, 1), 'Gastos e Ingresos 2029'!$A:$A, "&lt;"&amp;DATE(2029, 6, 1))&gt;0, SUMIFS('Gastos e Ingresos 2029'!$E:$E, 'Gastos e Ingresos 2029'!$D:$D, "Gasto", 'Gastos e Ingresos 2029'!$C:$C, F$2, 'Gastos e Ingresos 2029'!$A:$A, "&gt;="&amp;DATE(2029, 5, 1), 'Gastos e Ingresos 2029'!$A:$A, "&lt;"&amp;DATE(2029, 6, 1)), "")</f>
        <v/>
      </c>
      <c r="G7" s="78">
        <f>IF(COUNTIFS('Gastos e Ingresos 2029'!$A:$A, "&gt;="&amp;DATE(2029, 5, 1), 'Gastos e Ingresos 2029'!$A:$A, "&lt;"&amp;DATE(2029, 6, 1))&gt;0, SUMIFS('Gastos e Ingresos 2029'!$E:$E, 'Gastos e Ingresos 2029'!$D:$D, "Gasto", 'Gastos e Ingresos 2029'!$C:$C, G$2, 'Gastos e Ingresos 2029'!$A:$A, "&gt;="&amp;DATE(2029, 5, 1), 'Gastos e Ingresos 2029'!$A:$A, "&lt;"&amp;DATE(2029, 6, 1)), "")</f>
        <v/>
      </c>
      <c r="H7" s="78">
        <f>IF(COUNTIFS('Gastos e Ingresos 2029'!$A:$A, "&gt;="&amp;DATE(2029, 5, 1), 'Gastos e Ingresos 2029'!$A:$A, "&lt;"&amp;DATE(2029, 6, 1))&gt;0, SUMIFS('Gastos e Ingresos 2029'!$E:$E, 'Gastos e Ingresos 2029'!$D:$D, "Gasto", 'Gastos e Ingresos 2029'!$C:$C, H$2, 'Gastos e Ingresos 2029'!$A:$A, "&gt;="&amp;DATE(2029, 5, 1), 'Gastos e Ingresos 2029'!$A:$A, "&lt;"&amp;DATE(2029, 6, 1)), "")</f>
        <v/>
      </c>
      <c r="I7" s="78">
        <f>IF(COUNTIFS('Gastos e Ingresos 2029'!$A:$A, "&gt;="&amp;DATE(2029, 5, 1), 'Gastos e Ingresos 2029'!$A:$A, "&lt;"&amp;DATE(2029, 6, 1))&gt;0, SUMIFS('Gastos e Ingresos 2029'!$E:$E, 'Gastos e Ingresos 2029'!$D:$D, "Gasto", 'Gastos e Ingresos 2029'!$C:$C, I$2, 'Gastos e Ingresos 2029'!$A:$A, "&gt;="&amp;DATE(2029, 5, 1), 'Gastos e Ingresos 2029'!$A:$A, "&lt;"&amp;DATE(2029, 6, 1)), "")</f>
        <v/>
      </c>
      <c r="J7" s="78">
        <f>IF(COUNTIFS('Gastos e Ingresos 2029'!$A:$A, "&gt;="&amp;DATE(2029, 5, 1), 'Gastos e Ingresos 2029'!$A:$A, "&lt;"&amp;DATE(2029, 6, 1))&gt;0, SUMIFS('Gastos e Ingresos 2029'!$E:$E, 'Gastos e Ingresos 2029'!$D:$D, "Gasto", 'Gastos e Ingresos 2029'!$C:$C, J$2, 'Gastos e Ingresos 2029'!$A:$A, "&gt;="&amp;DATE(2029, 5, 1), 'Gastos e Ingresos 2029'!$A:$A, "&lt;"&amp;DATE(2029, 6, 1)), "")</f>
        <v/>
      </c>
      <c r="K7" s="78">
        <f>IF(COUNTIFS('Gastos e Ingresos 2029'!$A:$A, "&gt;="&amp;DATE(2029, 5, 1), 'Gastos e Ingresos 2029'!$A:$A, "&lt;"&amp;DATE(2029, 6, 1))&gt;0, SUMIFS('Gastos e Ingresos 2029'!$E:$E, 'Gastos e Ingresos 2029'!$D:$D, "Gasto", 'Gastos e Ingresos 2029'!$C:$C, K$2, 'Gastos e Ingresos 2029'!$A:$A, "&gt;="&amp;DATE(2029, 5, 1), 'Gastos e Ingresos 2029'!$A:$A, "&lt;"&amp;DATE(2029, 6, 1)), "")</f>
        <v/>
      </c>
      <c r="L7" s="78">
        <f>IF(COUNTIFS('Gastos e Ingresos 2029'!$A:$A, "&gt;="&amp;DATE(2029, 5, 1), 'Gastos e Ingresos 2029'!$A:$A, "&lt;"&amp;DATE(2029, 6, 1))&gt;0, SUMIFS('Gastos e Ingresos 2029'!$E:$E, 'Gastos e Ingresos 2029'!$D:$D, "Gasto", 'Gastos e Ingresos 2029'!$C:$C, L$2, 'Gastos e Ingresos 2029'!$A:$A, "&gt;="&amp;DATE(2029, 5, 1), 'Gastos e Ingresos 2029'!$A:$A, "&lt;"&amp;DATE(2029, 6, 1)), "")</f>
        <v/>
      </c>
      <c r="M7" s="78">
        <f>IF(COUNTIFS('Gastos e Ingresos 2029'!$A:$A, "&gt;="&amp;DATE(2029, 5, 1), 'Gastos e Ingresos 2029'!$A:$A, "&lt;"&amp;DATE(2029, 6, 1))&gt;0, SUMIFS('Gastos e Ingresos 2029'!$E:$E, 'Gastos e Ingresos 2029'!$D:$D, "Gasto", 'Gastos e Ingresos 2029'!$C:$C, M$2, 'Gastos e Ingresos 2029'!$A:$A, "&gt;="&amp;DATE(2029, 5, 1), 'Gastos e Ingresos 2029'!$A:$A, "&lt;"&amp;DATE(2029, 6, 1)), "")</f>
        <v/>
      </c>
      <c r="N7" s="78">
        <f>IF(COUNTIFS('Gastos e Ingresos 2029'!$A:$A, "&gt;="&amp;DATE(2029, 5, 1), 'Gastos e Ingresos 2029'!$A:$A, "&lt;"&amp;DATE(2029, 6, 1))&gt;0, SUMIFS('Gastos e Ingresos 2029'!$E:$E, 'Gastos e Ingresos 2029'!$D:$D, "Gasto", 'Gastos e Ingresos 2029'!$C:$C, N$2, 'Gastos e Ingresos 2029'!$A:$A, "&gt;="&amp;DATE(2029, 5, 1), 'Gastos e Ingresos 2029'!$A:$A, "&lt;"&amp;DATE(2029, 6, 1)), "")</f>
        <v/>
      </c>
      <c r="O7" s="78">
        <f>IF(COUNTIFS('Gastos e Ingresos 2029'!$A:$A, "&gt;="&amp;DATE(2029, 5, 1), 'Gastos e Ingresos 2029'!$A:$A, "&lt;"&amp;DATE(2029, 6, 1))&gt;0, SUMIFS('Gastos e Ingresos 2029'!$E:$E, 'Gastos e Ingresos 2029'!$D:$D, "Gasto", 'Gastos e Ingresos 2029'!$C:$C, O$2, 'Gastos e Ingresos 2029'!$A:$A, "&gt;="&amp;DATE(2029, 5, 1), 'Gastos e Ingresos 2029'!$A:$A, "&lt;"&amp;DATE(2029, 6, 1)), "")</f>
        <v/>
      </c>
      <c r="P7" s="78">
        <f>IF(COUNTIFS('Gastos e Ingresos 2029'!$A:$A, "&gt;="&amp;DATE(2029, 5, 1), 'Gastos e Ingresos 2029'!$A:$A, "&lt;"&amp;DATE(2029, 6, 1))&gt;0, SUMIFS('Gastos e Ingresos 2029'!$E:$E, 'Gastos e Ingresos 2029'!$D:$D, "Gasto", 'Gastos e Ingresos 2029'!$C:$C, P$2, 'Gastos e Ingresos 2029'!$A:$A, "&gt;="&amp;DATE(2029, 5, 1), 'Gastos e Ingresos 2029'!$A:$A, "&lt;"&amp;DATE(2029, 6, 1)), "")</f>
        <v/>
      </c>
      <c r="Q7" s="78">
        <f>IF(COUNTIFS('Gastos e Ingresos 2029'!$A:$A, "&gt;="&amp;DATE(2029, 5, 1), 'Gastos e Ingresos 2029'!$A:$A, "&lt;"&amp;DATE(2029, 6, 1))&gt;0, SUMIFS('Gastos e Ingresos 2029'!$E:$E, 'Gastos e Ingresos 2029'!$D:$D, "Gasto", 'Gastos e Ingresos 2029'!$C:$C, Q$2, 'Gastos e Ingresos 2029'!$A:$A, "&gt;="&amp;DATE(2029, 5, 1), 'Gastos e Ingresos 2029'!$A:$A, "&lt;"&amp;DATE(2029, 6, 1)), "")</f>
        <v/>
      </c>
      <c r="R7" s="78">
        <f>IF(COUNTIFS('Gastos e Ingresos 2029'!$A:$A, "&gt;="&amp;DATE(2029, 5, 1), 'Gastos e Ingresos 2029'!$A:$A, "&lt;"&amp;DATE(2029, 6, 1))&gt;0, SUMIFS('Gastos e Ingresos 2029'!$E:$E, 'Gastos e Ingresos 2029'!$D:$D, "Gasto", 'Gastos e Ingresos 2029'!$C:$C, R$2, 'Gastos e Ingresos 2029'!$A:$A, "&gt;="&amp;DATE(2029, 5, 1), 'Gastos e Ingresos 2029'!$A:$A, "&lt;"&amp;DATE(2029, 6, 1)), "")</f>
        <v/>
      </c>
    </row>
    <row r="8" ht="24" customHeight="1" s="18">
      <c r="A8" s="97" t="inlineStr">
        <is>
          <t>Junio</t>
        </is>
      </c>
      <c r="B8" s="78">
        <f>IF(COUNTIFS('Gastos e Ingresos 2029'!$A:$A, "&gt;="&amp;DATE(2029, 6, 1), 'Gastos e Ingresos 2029'!$A:$A, "&lt;"&amp;DATE(2029, 7, 1))&gt;0, SUMIFS('Gastos e Ingresos 2029'!$E:$E, 'Gastos e Ingresos 2029'!$D:$D, "Ingreso", 'Gastos e Ingresos 2029'!$A:$A, "&gt;="&amp;DATE(2029, 6, 1), 'Gastos e Ingresos 2029'!$A:$A, "&lt;"&amp;DATE(2029, 7, 1)), "")</f>
        <v/>
      </c>
      <c r="C8" s="78">
        <f>IF(COUNTIFS('Gastos e Ingresos 2029'!$A:$A, "&gt;="&amp;DATE(2029, 6, 1), 'Gastos e Ingresos 2029'!$A:$A, "&lt;"&amp;DATE(2029, 7, 1))&gt;0, SUMIFS('Gastos e Ingresos 2029'!$E:$E, 'Gastos e Ingresos 2029'!$D:$D, "Gasto", 'Gastos e Ingresos 2029'!$A:$A, "&gt;="&amp;DATE(2029, 6, 1), 'Gastos e Ingresos 2029'!$A:$A, "&lt;"&amp;DATE(2029, 7, 1)), "")</f>
        <v/>
      </c>
      <c r="D8" s="83">
        <f>IF(B8="","",B8-C8)</f>
        <v/>
      </c>
      <c r="E8" s="98">
        <f>IF(B8="","",IF(B8&gt;0, D8/B8, 0))</f>
        <v/>
      </c>
      <c r="F8" s="75">
        <f>IF(COUNTIFS('Gastos e Ingresos 2029'!$A:$A, "&gt;="&amp;DATE(2029, 6, 1), 'Gastos e Ingresos 2029'!$A:$A, "&lt;"&amp;DATE(2029, 7, 1))&gt;0, SUMIFS('Gastos e Ingresos 2029'!$E:$E, 'Gastos e Ingresos 2029'!$D:$D, "Gasto", 'Gastos e Ingresos 2029'!$C:$C, F$2, 'Gastos e Ingresos 2029'!$A:$A, "&gt;="&amp;DATE(2029, 6, 1), 'Gastos e Ingresos 2029'!$A:$A, "&lt;"&amp;DATE(2029, 7, 1)), "")</f>
        <v/>
      </c>
      <c r="G8" s="75">
        <f>IF(COUNTIFS('Gastos e Ingresos 2029'!$A:$A, "&gt;="&amp;DATE(2029, 6, 1), 'Gastos e Ingresos 2029'!$A:$A, "&lt;"&amp;DATE(2029, 7, 1))&gt;0, SUMIFS('Gastos e Ingresos 2029'!$E:$E, 'Gastos e Ingresos 2029'!$D:$D, "Gasto", 'Gastos e Ingresos 2029'!$C:$C, G$2, 'Gastos e Ingresos 2029'!$A:$A, "&gt;="&amp;DATE(2029, 6, 1), 'Gastos e Ingresos 2029'!$A:$A, "&lt;"&amp;DATE(2029, 7, 1)), "")</f>
        <v/>
      </c>
      <c r="H8" s="75">
        <f>IF(COUNTIFS('Gastos e Ingresos 2029'!$A:$A, "&gt;="&amp;DATE(2029, 6, 1), 'Gastos e Ingresos 2029'!$A:$A, "&lt;"&amp;DATE(2029, 7, 1))&gt;0, SUMIFS('Gastos e Ingresos 2029'!$E:$E, 'Gastos e Ingresos 2029'!$D:$D, "Gasto", 'Gastos e Ingresos 2029'!$C:$C, H$2, 'Gastos e Ingresos 2029'!$A:$A, "&gt;="&amp;DATE(2029, 6, 1), 'Gastos e Ingresos 2029'!$A:$A, "&lt;"&amp;DATE(2029, 7, 1)), "")</f>
        <v/>
      </c>
      <c r="I8" s="75">
        <f>IF(COUNTIFS('Gastos e Ingresos 2029'!$A:$A, "&gt;="&amp;DATE(2029, 6, 1), 'Gastos e Ingresos 2029'!$A:$A, "&lt;"&amp;DATE(2029, 7, 1))&gt;0, SUMIFS('Gastos e Ingresos 2029'!$E:$E, 'Gastos e Ingresos 2029'!$D:$D, "Gasto", 'Gastos e Ingresos 2029'!$C:$C, I$2, 'Gastos e Ingresos 2029'!$A:$A, "&gt;="&amp;DATE(2029, 6, 1), 'Gastos e Ingresos 2029'!$A:$A, "&lt;"&amp;DATE(2029, 7, 1)), "")</f>
        <v/>
      </c>
      <c r="J8" s="75">
        <f>IF(COUNTIFS('Gastos e Ingresos 2029'!$A:$A, "&gt;="&amp;DATE(2029, 6, 1), 'Gastos e Ingresos 2029'!$A:$A, "&lt;"&amp;DATE(2029, 7, 1))&gt;0, SUMIFS('Gastos e Ingresos 2029'!$E:$E, 'Gastos e Ingresos 2029'!$D:$D, "Gasto", 'Gastos e Ingresos 2029'!$C:$C, J$2, 'Gastos e Ingresos 2029'!$A:$A, "&gt;="&amp;DATE(2029, 6, 1), 'Gastos e Ingresos 2029'!$A:$A, "&lt;"&amp;DATE(2029, 7, 1)), "")</f>
        <v/>
      </c>
      <c r="K8" s="75">
        <f>IF(COUNTIFS('Gastos e Ingresos 2029'!$A:$A, "&gt;="&amp;DATE(2029, 6, 1), 'Gastos e Ingresos 2029'!$A:$A, "&lt;"&amp;DATE(2029, 7, 1))&gt;0, SUMIFS('Gastos e Ingresos 2029'!$E:$E, 'Gastos e Ingresos 2029'!$D:$D, "Gasto", 'Gastos e Ingresos 2029'!$C:$C, K$2, 'Gastos e Ingresos 2029'!$A:$A, "&gt;="&amp;DATE(2029, 6, 1), 'Gastos e Ingresos 2029'!$A:$A, "&lt;"&amp;DATE(2029, 7, 1)), "")</f>
        <v/>
      </c>
      <c r="L8" s="75">
        <f>IF(COUNTIFS('Gastos e Ingresos 2029'!$A:$A, "&gt;="&amp;DATE(2029, 6, 1), 'Gastos e Ingresos 2029'!$A:$A, "&lt;"&amp;DATE(2029, 7, 1))&gt;0, SUMIFS('Gastos e Ingresos 2029'!$E:$E, 'Gastos e Ingresos 2029'!$D:$D, "Gasto", 'Gastos e Ingresos 2029'!$C:$C, L$2, 'Gastos e Ingresos 2029'!$A:$A, "&gt;="&amp;DATE(2029, 6, 1), 'Gastos e Ingresos 2029'!$A:$A, "&lt;"&amp;DATE(2029, 7, 1)), "")</f>
        <v/>
      </c>
      <c r="M8" s="75">
        <f>IF(COUNTIFS('Gastos e Ingresos 2029'!$A:$A, "&gt;="&amp;DATE(2029, 6, 1), 'Gastos e Ingresos 2029'!$A:$A, "&lt;"&amp;DATE(2029, 7, 1))&gt;0, SUMIFS('Gastos e Ingresos 2029'!$E:$E, 'Gastos e Ingresos 2029'!$D:$D, "Gasto", 'Gastos e Ingresos 2029'!$C:$C, M$2, 'Gastos e Ingresos 2029'!$A:$A, "&gt;="&amp;DATE(2029, 6, 1), 'Gastos e Ingresos 2029'!$A:$A, "&lt;"&amp;DATE(2029, 7, 1)), "")</f>
        <v/>
      </c>
      <c r="N8" s="75">
        <f>IF(COUNTIFS('Gastos e Ingresos 2029'!$A:$A, "&gt;="&amp;DATE(2029, 6, 1), 'Gastos e Ingresos 2029'!$A:$A, "&lt;"&amp;DATE(2029, 7, 1))&gt;0, SUMIFS('Gastos e Ingresos 2029'!$E:$E, 'Gastos e Ingresos 2029'!$D:$D, "Gasto", 'Gastos e Ingresos 2029'!$C:$C, N$2, 'Gastos e Ingresos 2029'!$A:$A, "&gt;="&amp;DATE(2029, 6, 1), 'Gastos e Ingresos 2029'!$A:$A, "&lt;"&amp;DATE(2029, 7, 1)), "")</f>
        <v/>
      </c>
      <c r="O8" s="75">
        <f>IF(COUNTIFS('Gastos e Ingresos 2029'!$A:$A, "&gt;="&amp;DATE(2029, 6, 1), 'Gastos e Ingresos 2029'!$A:$A, "&lt;"&amp;DATE(2029, 7, 1))&gt;0, SUMIFS('Gastos e Ingresos 2029'!$E:$E, 'Gastos e Ingresos 2029'!$D:$D, "Gasto", 'Gastos e Ingresos 2029'!$C:$C, O$2, 'Gastos e Ingresos 2029'!$A:$A, "&gt;="&amp;DATE(2029, 6, 1), 'Gastos e Ingresos 2029'!$A:$A, "&lt;"&amp;DATE(2029, 7, 1)), "")</f>
        <v/>
      </c>
      <c r="P8" s="75">
        <f>IF(COUNTIFS('Gastos e Ingresos 2029'!$A:$A, "&gt;="&amp;DATE(2029, 6, 1), 'Gastos e Ingresos 2029'!$A:$A, "&lt;"&amp;DATE(2029, 7, 1))&gt;0, SUMIFS('Gastos e Ingresos 2029'!$E:$E, 'Gastos e Ingresos 2029'!$D:$D, "Gasto", 'Gastos e Ingresos 2029'!$C:$C, P$2, 'Gastos e Ingresos 2029'!$A:$A, "&gt;="&amp;DATE(2029, 6, 1), 'Gastos e Ingresos 2029'!$A:$A, "&lt;"&amp;DATE(2029, 7, 1)), "")</f>
        <v/>
      </c>
      <c r="Q8" s="75">
        <f>IF(COUNTIFS('Gastos e Ingresos 2029'!$A:$A, "&gt;="&amp;DATE(2029, 6, 1), 'Gastos e Ingresos 2029'!$A:$A, "&lt;"&amp;DATE(2029, 7, 1))&gt;0, SUMIFS('Gastos e Ingresos 2029'!$E:$E, 'Gastos e Ingresos 2029'!$D:$D, "Gasto", 'Gastos e Ingresos 2029'!$C:$C, Q$2, 'Gastos e Ingresos 2029'!$A:$A, "&gt;="&amp;DATE(2029, 6, 1), 'Gastos e Ingresos 2029'!$A:$A, "&lt;"&amp;DATE(2029, 7, 1)), "")</f>
        <v/>
      </c>
      <c r="R8" s="75">
        <f>IF(COUNTIFS('Gastos e Ingresos 2029'!$A:$A, "&gt;="&amp;DATE(2029, 6, 1), 'Gastos e Ingresos 2029'!$A:$A, "&lt;"&amp;DATE(2029, 7, 1))&gt;0, SUMIFS('Gastos e Ingresos 2029'!$E:$E, 'Gastos e Ingresos 2029'!$D:$D, "Gasto", 'Gastos e Ingresos 2029'!$C:$C, R$2, 'Gastos e Ingresos 2029'!$A:$A, "&gt;="&amp;DATE(2029, 6, 1), 'Gastos e Ingresos 2029'!$A:$A, "&lt;"&amp;DATE(2029, 7, 1)), "")</f>
        <v/>
      </c>
    </row>
    <row r="9" ht="24" customHeight="1" s="18">
      <c r="A9" s="97" t="inlineStr">
        <is>
          <t>Julio</t>
        </is>
      </c>
      <c r="B9" s="78">
        <f>IF(COUNTIFS('Gastos e Ingresos 2029'!$A:$A, "&gt;="&amp;DATE(2029, 7, 1), 'Gastos e Ingresos 2029'!$A:$A, "&lt;"&amp;DATE(2029, 8, 1))&gt;0, SUMIFS('Gastos e Ingresos 2029'!$E:$E, 'Gastos e Ingresos 2029'!$D:$D, "Ingreso", 'Gastos e Ingresos 2029'!$A:$A, "&gt;="&amp;DATE(2029, 7, 1), 'Gastos e Ingresos 2029'!$A:$A, "&lt;"&amp;DATE(2029, 8, 1)), "")</f>
        <v/>
      </c>
      <c r="C9" s="78">
        <f>IF(COUNTIFS('Gastos e Ingresos 2029'!$A:$A, "&gt;="&amp;DATE(2029, 7, 1), 'Gastos e Ingresos 2029'!$A:$A, "&lt;"&amp;DATE(2029, 8, 1))&gt;0, SUMIFS('Gastos e Ingresos 2029'!$E:$E, 'Gastos e Ingresos 2029'!$D:$D, "Gasto", 'Gastos e Ingresos 2029'!$A:$A, "&gt;="&amp;DATE(2029, 7, 1), 'Gastos e Ingresos 2029'!$A:$A, "&lt;"&amp;DATE(2029, 8, 1)), "")</f>
        <v/>
      </c>
      <c r="D9" s="83">
        <f>IF(B9="","",B9-C9)</f>
        <v/>
      </c>
      <c r="E9" s="98">
        <f>IF(B9="","",IF(B9&gt;0, D9/B9, 0))</f>
        <v/>
      </c>
      <c r="F9" s="78">
        <f>IF(COUNTIFS('Gastos e Ingresos 2029'!$A:$A, "&gt;="&amp;DATE(2029, 7, 1), 'Gastos e Ingresos 2029'!$A:$A, "&lt;"&amp;DATE(2029, 8, 1))&gt;0, SUMIFS('Gastos e Ingresos 2029'!$E:$E, 'Gastos e Ingresos 2029'!$D:$D, "Gasto", 'Gastos e Ingresos 2029'!$C:$C, F$2, 'Gastos e Ingresos 2029'!$A:$A, "&gt;="&amp;DATE(2029, 7, 1), 'Gastos e Ingresos 2029'!$A:$A, "&lt;"&amp;DATE(2029, 8, 1)), "")</f>
        <v/>
      </c>
      <c r="G9" s="78">
        <f>IF(COUNTIFS('Gastos e Ingresos 2029'!$A:$A, "&gt;="&amp;DATE(2029, 7, 1), 'Gastos e Ingresos 2029'!$A:$A, "&lt;"&amp;DATE(2029, 8, 1))&gt;0, SUMIFS('Gastos e Ingresos 2029'!$E:$E, 'Gastos e Ingresos 2029'!$D:$D, "Gasto", 'Gastos e Ingresos 2029'!$C:$C, G$2, 'Gastos e Ingresos 2029'!$A:$A, "&gt;="&amp;DATE(2029, 7, 1), 'Gastos e Ingresos 2029'!$A:$A, "&lt;"&amp;DATE(2029, 8, 1)), "")</f>
        <v/>
      </c>
      <c r="H9" s="78">
        <f>IF(COUNTIFS('Gastos e Ingresos 2029'!$A:$A, "&gt;="&amp;DATE(2029, 7, 1), 'Gastos e Ingresos 2029'!$A:$A, "&lt;"&amp;DATE(2029, 8, 1))&gt;0, SUMIFS('Gastos e Ingresos 2029'!$E:$E, 'Gastos e Ingresos 2029'!$D:$D, "Gasto", 'Gastos e Ingresos 2029'!$C:$C, H$2, 'Gastos e Ingresos 2029'!$A:$A, "&gt;="&amp;DATE(2029, 7, 1), 'Gastos e Ingresos 2029'!$A:$A, "&lt;"&amp;DATE(2029, 8, 1)), "")</f>
        <v/>
      </c>
      <c r="I9" s="78">
        <f>IF(COUNTIFS('Gastos e Ingresos 2029'!$A:$A, "&gt;="&amp;DATE(2029, 7, 1), 'Gastos e Ingresos 2029'!$A:$A, "&lt;"&amp;DATE(2029, 8, 1))&gt;0, SUMIFS('Gastos e Ingresos 2029'!$E:$E, 'Gastos e Ingresos 2029'!$D:$D, "Gasto", 'Gastos e Ingresos 2029'!$C:$C, I$2, 'Gastos e Ingresos 2029'!$A:$A, "&gt;="&amp;DATE(2029, 7, 1), 'Gastos e Ingresos 2029'!$A:$A, "&lt;"&amp;DATE(2029, 8, 1)), "")</f>
        <v/>
      </c>
      <c r="J9" s="78">
        <f>IF(COUNTIFS('Gastos e Ingresos 2029'!$A:$A, "&gt;="&amp;DATE(2029, 7, 1), 'Gastos e Ingresos 2029'!$A:$A, "&lt;"&amp;DATE(2029, 8, 1))&gt;0, SUMIFS('Gastos e Ingresos 2029'!$E:$E, 'Gastos e Ingresos 2029'!$D:$D, "Gasto", 'Gastos e Ingresos 2029'!$C:$C, J$2, 'Gastos e Ingresos 2029'!$A:$A, "&gt;="&amp;DATE(2029, 7, 1), 'Gastos e Ingresos 2029'!$A:$A, "&lt;"&amp;DATE(2029, 8, 1)), "")</f>
        <v/>
      </c>
      <c r="K9" s="78">
        <f>IF(COUNTIFS('Gastos e Ingresos 2029'!$A:$A, "&gt;="&amp;DATE(2029, 7, 1), 'Gastos e Ingresos 2029'!$A:$A, "&lt;"&amp;DATE(2029, 8, 1))&gt;0, SUMIFS('Gastos e Ingresos 2029'!$E:$E, 'Gastos e Ingresos 2029'!$D:$D, "Gasto", 'Gastos e Ingresos 2029'!$C:$C, K$2, 'Gastos e Ingresos 2029'!$A:$A, "&gt;="&amp;DATE(2029, 7, 1), 'Gastos e Ingresos 2029'!$A:$A, "&lt;"&amp;DATE(2029, 8, 1)), "")</f>
        <v/>
      </c>
      <c r="L9" s="78">
        <f>IF(COUNTIFS('Gastos e Ingresos 2029'!$A:$A, "&gt;="&amp;DATE(2029, 7, 1), 'Gastos e Ingresos 2029'!$A:$A, "&lt;"&amp;DATE(2029, 8, 1))&gt;0, SUMIFS('Gastos e Ingresos 2029'!$E:$E, 'Gastos e Ingresos 2029'!$D:$D, "Gasto", 'Gastos e Ingresos 2029'!$C:$C, L$2, 'Gastos e Ingresos 2029'!$A:$A, "&gt;="&amp;DATE(2029, 7, 1), 'Gastos e Ingresos 2029'!$A:$A, "&lt;"&amp;DATE(2029, 8, 1)), "")</f>
        <v/>
      </c>
      <c r="M9" s="78">
        <f>IF(COUNTIFS('Gastos e Ingresos 2029'!$A:$A, "&gt;="&amp;DATE(2029, 7, 1), 'Gastos e Ingresos 2029'!$A:$A, "&lt;"&amp;DATE(2029, 8, 1))&gt;0, SUMIFS('Gastos e Ingresos 2029'!$E:$E, 'Gastos e Ingresos 2029'!$D:$D, "Gasto", 'Gastos e Ingresos 2029'!$C:$C, M$2, 'Gastos e Ingresos 2029'!$A:$A, "&gt;="&amp;DATE(2029, 7, 1), 'Gastos e Ingresos 2029'!$A:$A, "&lt;"&amp;DATE(2029, 8, 1)), "")</f>
        <v/>
      </c>
      <c r="N9" s="78">
        <f>IF(COUNTIFS('Gastos e Ingresos 2029'!$A:$A, "&gt;="&amp;DATE(2029, 7, 1), 'Gastos e Ingresos 2029'!$A:$A, "&lt;"&amp;DATE(2029, 8, 1))&gt;0, SUMIFS('Gastos e Ingresos 2029'!$E:$E, 'Gastos e Ingresos 2029'!$D:$D, "Gasto", 'Gastos e Ingresos 2029'!$C:$C, N$2, 'Gastos e Ingresos 2029'!$A:$A, "&gt;="&amp;DATE(2029, 7, 1), 'Gastos e Ingresos 2029'!$A:$A, "&lt;"&amp;DATE(2029, 8, 1)), "")</f>
        <v/>
      </c>
      <c r="O9" s="78">
        <f>IF(COUNTIFS('Gastos e Ingresos 2029'!$A:$A, "&gt;="&amp;DATE(2029, 7, 1), 'Gastos e Ingresos 2029'!$A:$A, "&lt;"&amp;DATE(2029, 8, 1))&gt;0, SUMIFS('Gastos e Ingresos 2029'!$E:$E, 'Gastos e Ingresos 2029'!$D:$D, "Gasto", 'Gastos e Ingresos 2029'!$C:$C, O$2, 'Gastos e Ingresos 2029'!$A:$A, "&gt;="&amp;DATE(2029, 7, 1), 'Gastos e Ingresos 2029'!$A:$A, "&lt;"&amp;DATE(2029, 8, 1)), "")</f>
        <v/>
      </c>
      <c r="P9" s="78">
        <f>IF(COUNTIFS('Gastos e Ingresos 2029'!$A:$A, "&gt;="&amp;DATE(2029, 7, 1), 'Gastos e Ingresos 2029'!$A:$A, "&lt;"&amp;DATE(2029, 8, 1))&gt;0, SUMIFS('Gastos e Ingresos 2029'!$E:$E, 'Gastos e Ingresos 2029'!$D:$D, "Gasto", 'Gastos e Ingresos 2029'!$C:$C, P$2, 'Gastos e Ingresos 2029'!$A:$A, "&gt;="&amp;DATE(2029, 7, 1), 'Gastos e Ingresos 2029'!$A:$A, "&lt;"&amp;DATE(2029, 8, 1)), "")</f>
        <v/>
      </c>
      <c r="Q9" s="78">
        <f>IF(COUNTIFS('Gastos e Ingresos 2029'!$A:$A, "&gt;="&amp;DATE(2029, 7, 1), 'Gastos e Ingresos 2029'!$A:$A, "&lt;"&amp;DATE(2029, 8, 1))&gt;0, SUMIFS('Gastos e Ingresos 2029'!$E:$E, 'Gastos e Ingresos 2029'!$D:$D, "Gasto", 'Gastos e Ingresos 2029'!$C:$C, Q$2, 'Gastos e Ingresos 2029'!$A:$A, "&gt;="&amp;DATE(2029, 7, 1), 'Gastos e Ingresos 2029'!$A:$A, "&lt;"&amp;DATE(2029, 8, 1)), "")</f>
        <v/>
      </c>
      <c r="R9" s="78">
        <f>IF(COUNTIFS('Gastos e Ingresos 2029'!$A:$A, "&gt;="&amp;DATE(2029, 7, 1), 'Gastos e Ingresos 2029'!$A:$A, "&lt;"&amp;DATE(2029, 8, 1))&gt;0, SUMIFS('Gastos e Ingresos 2029'!$E:$E, 'Gastos e Ingresos 2029'!$D:$D, "Gasto", 'Gastos e Ingresos 2029'!$C:$C, R$2, 'Gastos e Ingresos 2029'!$A:$A, "&gt;="&amp;DATE(2029, 7, 1), 'Gastos e Ingresos 2029'!$A:$A, "&lt;"&amp;DATE(2029, 8, 1)), "")</f>
        <v/>
      </c>
    </row>
    <row r="10" ht="24" customHeight="1" s="18">
      <c r="A10" s="97" t="inlineStr">
        <is>
          <t>Agosto</t>
        </is>
      </c>
      <c r="B10" s="78">
        <f>IF(COUNTIFS('Gastos e Ingresos 2029'!$A:$A, "&gt;="&amp;DATE(2029, 8, 1), 'Gastos e Ingresos 2029'!$A:$A, "&lt;"&amp;DATE(2029, 9, 1))&gt;0, SUMIFS('Gastos e Ingresos 2029'!$E:$E, 'Gastos e Ingresos 2029'!$D:$D, "Ingreso", 'Gastos e Ingresos 2029'!$A:$A, "&gt;="&amp;DATE(2029, 8, 1), 'Gastos e Ingresos 2029'!$A:$A, "&lt;"&amp;DATE(2029, 9, 1)), "")</f>
        <v/>
      </c>
      <c r="C10" s="78">
        <f>IF(COUNTIFS('Gastos e Ingresos 2029'!$A:$A, "&gt;="&amp;DATE(2029, 8, 1), 'Gastos e Ingresos 2029'!$A:$A, "&lt;"&amp;DATE(2029, 9, 1))&gt;0, SUMIFS('Gastos e Ingresos 2029'!$E:$E, 'Gastos e Ingresos 2029'!$D:$D, "Gasto", 'Gastos e Ingresos 2029'!$A:$A, "&gt;="&amp;DATE(2029, 8, 1), 'Gastos e Ingresos 2029'!$A:$A, "&lt;"&amp;DATE(2029, 9, 1)), "")</f>
        <v/>
      </c>
      <c r="D10" s="83">
        <f>IF(B10="","",B10-C10)</f>
        <v/>
      </c>
      <c r="E10" s="98">
        <f>IF(B10="","",IF(B10&gt;0, D10/B10, 0))</f>
        <v/>
      </c>
      <c r="F10" s="75">
        <f>IF(COUNTIFS('Gastos e Ingresos 2029'!$A:$A, "&gt;="&amp;DATE(2029, 8, 1), 'Gastos e Ingresos 2029'!$A:$A, "&lt;"&amp;DATE(2029, 9, 1))&gt;0, SUMIFS('Gastos e Ingresos 2029'!$E:$E, 'Gastos e Ingresos 2029'!$D:$D, "Gasto", 'Gastos e Ingresos 2029'!$C:$C, F$2, 'Gastos e Ingresos 2029'!$A:$A, "&gt;="&amp;DATE(2029, 8, 1), 'Gastos e Ingresos 2029'!$A:$A, "&lt;"&amp;DATE(2029, 9, 1)), "")</f>
        <v/>
      </c>
      <c r="G10" s="75">
        <f>IF(COUNTIFS('Gastos e Ingresos 2029'!$A:$A, "&gt;="&amp;DATE(2029, 8, 1), 'Gastos e Ingresos 2029'!$A:$A, "&lt;"&amp;DATE(2029, 9, 1))&gt;0, SUMIFS('Gastos e Ingresos 2029'!$E:$E, 'Gastos e Ingresos 2029'!$D:$D, "Gasto", 'Gastos e Ingresos 2029'!$C:$C, G$2, 'Gastos e Ingresos 2029'!$A:$A, "&gt;="&amp;DATE(2029, 8, 1), 'Gastos e Ingresos 2029'!$A:$A, "&lt;"&amp;DATE(2029, 9, 1)), "")</f>
        <v/>
      </c>
      <c r="H10" s="75">
        <f>IF(COUNTIFS('Gastos e Ingresos 2029'!$A:$A, "&gt;="&amp;DATE(2029, 8, 1), 'Gastos e Ingresos 2029'!$A:$A, "&lt;"&amp;DATE(2029, 9, 1))&gt;0, SUMIFS('Gastos e Ingresos 2029'!$E:$E, 'Gastos e Ingresos 2029'!$D:$D, "Gasto", 'Gastos e Ingresos 2029'!$C:$C, H$2, 'Gastos e Ingresos 2029'!$A:$A, "&gt;="&amp;DATE(2029, 8, 1), 'Gastos e Ingresos 2029'!$A:$A, "&lt;"&amp;DATE(2029, 9, 1)), "")</f>
        <v/>
      </c>
      <c r="I10" s="75">
        <f>IF(COUNTIFS('Gastos e Ingresos 2029'!$A:$A, "&gt;="&amp;DATE(2029, 8, 1), 'Gastos e Ingresos 2029'!$A:$A, "&lt;"&amp;DATE(2029, 9, 1))&gt;0, SUMIFS('Gastos e Ingresos 2029'!$E:$E, 'Gastos e Ingresos 2029'!$D:$D, "Gasto", 'Gastos e Ingresos 2029'!$C:$C, I$2, 'Gastos e Ingresos 2029'!$A:$A, "&gt;="&amp;DATE(2029, 8, 1), 'Gastos e Ingresos 2029'!$A:$A, "&lt;"&amp;DATE(2029, 9, 1)), "")</f>
        <v/>
      </c>
      <c r="J10" s="75">
        <f>IF(COUNTIFS('Gastos e Ingresos 2029'!$A:$A, "&gt;="&amp;DATE(2029, 8, 1), 'Gastos e Ingresos 2029'!$A:$A, "&lt;"&amp;DATE(2029, 9, 1))&gt;0, SUMIFS('Gastos e Ingresos 2029'!$E:$E, 'Gastos e Ingresos 2029'!$D:$D, "Gasto", 'Gastos e Ingresos 2029'!$C:$C, J$2, 'Gastos e Ingresos 2029'!$A:$A, "&gt;="&amp;DATE(2029, 8, 1), 'Gastos e Ingresos 2029'!$A:$A, "&lt;"&amp;DATE(2029, 9, 1)), "")</f>
        <v/>
      </c>
      <c r="K10" s="75">
        <f>IF(COUNTIFS('Gastos e Ingresos 2029'!$A:$A, "&gt;="&amp;DATE(2029, 8, 1), 'Gastos e Ingresos 2029'!$A:$A, "&lt;"&amp;DATE(2029, 9, 1))&gt;0, SUMIFS('Gastos e Ingresos 2029'!$E:$E, 'Gastos e Ingresos 2029'!$D:$D, "Gasto", 'Gastos e Ingresos 2029'!$C:$C, K$2, 'Gastos e Ingresos 2029'!$A:$A, "&gt;="&amp;DATE(2029, 8, 1), 'Gastos e Ingresos 2029'!$A:$A, "&lt;"&amp;DATE(2029, 9, 1)), "")</f>
        <v/>
      </c>
      <c r="L10" s="75">
        <f>IF(COUNTIFS('Gastos e Ingresos 2029'!$A:$A, "&gt;="&amp;DATE(2029, 8, 1), 'Gastos e Ingresos 2029'!$A:$A, "&lt;"&amp;DATE(2029, 9, 1))&gt;0, SUMIFS('Gastos e Ingresos 2029'!$E:$E, 'Gastos e Ingresos 2029'!$D:$D, "Gasto", 'Gastos e Ingresos 2029'!$C:$C, L$2, 'Gastos e Ingresos 2029'!$A:$A, "&gt;="&amp;DATE(2029, 8, 1), 'Gastos e Ingresos 2029'!$A:$A, "&lt;"&amp;DATE(2029, 9, 1)), "")</f>
        <v/>
      </c>
      <c r="M10" s="75">
        <f>IF(COUNTIFS('Gastos e Ingresos 2029'!$A:$A, "&gt;="&amp;DATE(2029, 8, 1), 'Gastos e Ingresos 2029'!$A:$A, "&lt;"&amp;DATE(2029, 9, 1))&gt;0, SUMIFS('Gastos e Ingresos 2029'!$E:$E, 'Gastos e Ingresos 2029'!$D:$D, "Gasto", 'Gastos e Ingresos 2029'!$C:$C, M$2, 'Gastos e Ingresos 2029'!$A:$A, "&gt;="&amp;DATE(2029, 8, 1), 'Gastos e Ingresos 2029'!$A:$A, "&lt;"&amp;DATE(2029, 9, 1)), "")</f>
        <v/>
      </c>
      <c r="N10" s="75">
        <f>IF(COUNTIFS('Gastos e Ingresos 2029'!$A:$A, "&gt;="&amp;DATE(2029, 8, 1), 'Gastos e Ingresos 2029'!$A:$A, "&lt;"&amp;DATE(2029, 9, 1))&gt;0, SUMIFS('Gastos e Ingresos 2029'!$E:$E, 'Gastos e Ingresos 2029'!$D:$D, "Gasto", 'Gastos e Ingresos 2029'!$C:$C, N$2, 'Gastos e Ingresos 2029'!$A:$A, "&gt;="&amp;DATE(2029, 8, 1), 'Gastos e Ingresos 2029'!$A:$A, "&lt;"&amp;DATE(2029, 9, 1)), "")</f>
        <v/>
      </c>
      <c r="O10" s="75">
        <f>IF(COUNTIFS('Gastos e Ingresos 2029'!$A:$A, "&gt;="&amp;DATE(2029, 8, 1), 'Gastos e Ingresos 2029'!$A:$A, "&lt;"&amp;DATE(2029, 9, 1))&gt;0, SUMIFS('Gastos e Ingresos 2029'!$E:$E, 'Gastos e Ingresos 2029'!$D:$D, "Gasto", 'Gastos e Ingresos 2029'!$C:$C, O$2, 'Gastos e Ingresos 2029'!$A:$A, "&gt;="&amp;DATE(2029, 8, 1), 'Gastos e Ingresos 2029'!$A:$A, "&lt;"&amp;DATE(2029, 9, 1)), "")</f>
        <v/>
      </c>
      <c r="P10" s="75">
        <f>IF(COUNTIFS('Gastos e Ingresos 2029'!$A:$A, "&gt;="&amp;DATE(2029, 8, 1), 'Gastos e Ingresos 2029'!$A:$A, "&lt;"&amp;DATE(2029, 9, 1))&gt;0, SUMIFS('Gastos e Ingresos 2029'!$E:$E, 'Gastos e Ingresos 2029'!$D:$D, "Gasto", 'Gastos e Ingresos 2029'!$C:$C, P$2, 'Gastos e Ingresos 2029'!$A:$A, "&gt;="&amp;DATE(2029, 8, 1), 'Gastos e Ingresos 2029'!$A:$A, "&lt;"&amp;DATE(2029, 9, 1)), "")</f>
        <v/>
      </c>
      <c r="Q10" s="75">
        <f>IF(COUNTIFS('Gastos e Ingresos 2029'!$A:$A, "&gt;="&amp;DATE(2029, 8, 1), 'Gastos e Ingresos 2029'!$A:$A, "&lt;"&amp;DATE(2029, 9, 1))&gt;0, SUMIFS('Gastos e Ingresos 2029'!$E:$E, 'Gastos e Ingresos 2029'!$D:$D, "Gasto", 'Gastos e Ingresos 2029'!$C:$C, Q$2, 'Gastos e Ingresos 2029'!$A:$A, "&gt;="&amp;DATE(2029, 8, 1), 'Gastos e Ingresos 2029'!$A:$A, "&lt;"&amp;DATE(2029, 9, 1)), "")</f>
        <v/>
      </c>
      <c r="R10" s="75">
        <f>IF(COUNTIFS('Gastos e Ingresos 2029'!$A:$A, "&gt;="&amp;DATE(2029, 8, 1), 'Gastos e Ingresos 2029'!$A:$A, "&lt;"&amp;DATE(2029, 9, 1))&gt;0, SUMIFS('Gastos e Ingresos 2029'!$E:$E, 'Gastos e Ingresos 2029'!$D:$D, "Gasto", 'Gastos e Ingresos 2029'!$C:$C, R$2, 'Gastos e Ingresos 2029'!$A:$A, "&gt;="&amp;DATE(2029, 8, 1), 'Gastos e Ingresos 2029'!$A:$A, "&lt;"&amp;DATE(2029, 9, 1)), "")</f>
        <v/>
      </c>
    </row>
    <row r="11" ht="24" customHeight="1" s="18">
      <c r="A11" s="97" t="inlineStr">
        <is>
          <t>Septiembre</t>
        </is>
      </c>
      <c r="B11" s="78">
        <f>IF(COUNTIFS('Gastos e Ingresos 2029'!$A:$A, "&gt;="&amp;DATE(2029, 9, 1), 'Gastos e Ingresos 2029'!$A:$A, "&lt;"&amp;DATE(2029, 10, 1))&gt;0, SUMIFS('Gastos e Ingresos 2029'!$E:$E, 'Gastos e Ingresos 2029'!$D:$D, "Ingreso", 'Gastos e Ingresos 2029'!$A:$A, "&gt;="&amp;DATE(2029, 9, 1), 'Gastos e Ingresos 2029'!$A:$A, "&lt;"&amp;DATE(2029, 10, 1)), "")</f>
        <v/>
      </c>
      <c r="C11" s="78">
        <f>IF(COUNTIFS('Gastos e Ingresos 2029'!$A:$A, "&gt;="&amp;DATE(2029, 9, 1), 'Gastos e Ingresos 2029'!$A:$A, "&lt;"&amp;DATE(2029, 10, 1))&gt;0, SUMIFS('Gastos e Ingresos 2029'!$E:$E, 'Gastos e Ingresos 2029'!$D:$D, "Gasto", 'Gastos e Ingresos 2029'!$A:$A, "&gt;="&amp;DATE(2029, 9, 1), 'Gastos e Ingresos 2029'!$A:$A, "&lt;"&amp;DATE(2029, 10, 1)), "")</f>
        <v/>
      </c>
      <c r="D11" s="83">
        <f>IF(B11="","",B11-C11)</f>
        <v/>
      </c>
      <c r="E11" s="98">
        <f>IF(B11="","",IF(B11&gt;0, D11/B11, 0))</f>
        <v/>
      </c>
      <c r="F11" s="78">
        <f>IF(COUNTIFS('Gastos e Ingresos 2029'!$A:$A, "&gt;="&amp;DATE(2029, 9, 1), 'Gastos e Ingresos 2029'!$A:$A, "&lt;"&amp;DATE(2029, 10, 1))&gt;0, SUMIFS('Gastos e Ingresos 2029'!$E:$E, 'Gastos e Ingresos 2029'!$D:$D, "Gasto", 'Gastos e Ingresos 2029'!$C:$C, F$2, 'Gastos e Ingresos 2029'!$A:$A, "&gt;="&amp;DATE(2029, 9, 1), 'Gastos e Ingresos 2029'!$A:$A, "&lt;"&amp;DATE(2029, 10, 1)), "")</f>
        <v/>
      </c>
      <c r="G11" s="78">
        <f>IF(COUNTIFS('Gastos e Ingresos 2029'!$A:$A, "&gt;="&amp;DATE(2029, 9, 1), 'Gastos e Ingresos 2029'!$A:$A, "&lt;"&amp;DATE(2029, 10, 1))&gt;0, SUMIFS('Gastos e Ingresos 2029'!$E:$E, 'Gastos e Ingresos 2029'!$D:$D, "Gasto", 'Gastos e Ingresos 2029'!$C:$C, G$2, 'Gastos e Ingresos 2029'!$A:$A, "&gt;="&amp;DATE(2029, 9, 1), 'Gastos e Ingresos 2029'!$A:$A, "&lt;"&amp;DATE(2029, 10, 1)), "")</f>
        <v/>
      </c>
      <c r="H11" s="78">
        <f>IF(COUNTIFS('Gastos e Ingresos 2029'!$A:$A, "&gt;="&amp;DATE(2029, 9, 1), 'Gastos e Ingresos 2029'!$A:$A, "&lt;"&amp;DATE(2029, 10, 1))&gt;0, SUMIFS('Gastos e Ingresos 2029'!$E:$E, 'Gastos e Ingresos 2029'!$D:$D, "Gasto", 'Gastos e Ingresos 2029'!$C:$C, H$2, 'Gastos e Ingresos 2029'!$A:$A, "&gt;="&amp;DATE(2029, 9, 1), 'Gastos e Ingresos 2029'!$A:$A, "&lt;"&amp;DATE(2029, 10, 1)), "")</f>
        <v/>
      </c>
      <c r="I11" s="78">
        <f>IF(COUNTIFS('Gastos e Ingresos 2029'!$A:$A, "&gt;="&amp;DATE(2029, 9, 1), 'Gastos e Ingresos 2029'!$A:$A, "&lt;"&amp;DATE(2029, 10, 1))&gt;0, SUMIFS('Gastos e Ingresos 2029'!$E:$E, 'Gastos e Ingresos 2029'!$D:$D, "Gasto", 'Gastos e Ingresos 2029'!$C:$C, I$2, 'Gastos e Ingresos 2029'!$A:$A, "&gt;="&amp;DATE(2029, 9, 1), 'Gastos e Ingresos 2029'!$A:$A, "&lt;"&amp;DATE(2029, 10, 1)), "")</f>
        <v/>
      </c>
      <c r="J11" s="78">
        <f>IF(COUNTIFS('Gastos e Ingresos 2029'!$A:$A, "&gt;="&amp;DATE(2029, 9, 1), 'Gastos e Ingresos 2029'!$A:$A, "&lt;"&amp;DATE(2029, 10, 1))&gt;0, SUMIFS('Gastos e Ingresos 2029'!$E:$E, 'Gastos e Ingresos 2029'!$D:$D, "Gasto", 'Gastos e Ingresos 2029'!$C:$C, J$2, 'Gastos e Ingresos 2029'!$A:$A, "&gt;="&amp;DATE(2029, 9, 1), 'Gastos e Ingresos 2029'!$A:$A, "&lt;"&amp;DATE(2029, 10, 1)), "")</f>
        <v/>
      </c>
      <c r="K11" s="78">
        <f>IF(COUNTIFS('Gastos e Ingresos 2029'!$A:$A, "&gt;="&amp;DATE(2029, 9, 1), 'Gastos e Ingresos 2029'!$A:$A, "&lt;"&amp;DATE(2029, 10, 1))&gt;0, SUMIFS('Gastos e Ingresos 2029'!$E:$E, 'Gastos e Ingresos 2029'!$D:$D, "Gasto", 'Gastos e Ingresos 2029'!$C:$C, K$2, 'Gastos e Ingresos 2029'!$A:$A, "&gt;="&amp;DATE(2029, 9, 1), 'Gastos e Ingresos 2029'!$A:$A, "&lt;"&amp;DATE(2029, 10, 1)), "")</f>
        <v/>
      </c>
      <c r="L11" s="78">
        <f>IF(COUNTIFS('Gastos e Ingresos 2029'!$A:$A, "&gt;="&amp;DATE(2029, 9, 1), 'Gastos e Ingresos 2029'!$A:$A, "&lt;"&amp;DATE(2029, 10, 1))&gt;0, SUMIFS('Gastos e Ingresos 2029'!$E:$E, 'Gastos e Ingresos 2029'!$D:$D, "Gasto", 'Gastos e Ingresos 2029'!$C:$C, L$2, 'Gastos e Ingresos 2029'!$A:$A, "&gt;="&amp;DATE(2029, 9, 1), 'Gastos e Ingresos 2029'!$A:$A, "&lt;"&amp;DATE(2029, 10, 1)), "")</f>
        <v/>
      </c>
      <c r="M11" s="78">
        <f>IF(COUNTIFS('Gastos e Ingresos 2029'!$A:$A, "&gt;="&amp;DATE(2029, 9, 1), 'Gastos e Ingresos 2029'!$A:$A, "&lt;"&amp;DATE(2029, 10, 1))&gt;0, SUMIFS('Gastos e Ingresos 2029'!$E:$E, 'Gastos e Ingresos 2029'!$D:$D, "Gasto", 'Gastos e Ingresos 2029'!$C:$C, M$2, 'Gastos e Ingresos 2029'!$A:$A, "&gt;="&amp;DATE(2029, 9, 1), 'Gastos e Ingresos 2029'!$A:$A, "&lt;"&amp;DATE(2029, 10, 1)), "")</f>
        <v/>
      </c>
      <c r="N11" s="78">
        <f>IF(COUNTIFS('Gastos e Ingresos 2029'!$A:$A, "&gt;="&amp;DATE(2029, 9, 1), 'Gastos e Ingresos 2029'!$A:$A, "&lt;"&amp;DATE(2029, 10, 1))&gt;0, SUMIFS('Gastos e Ingresos 2029'!$E:$E, 'Gastos e Ingresos 2029'!$D:$D, "Gasto", 'Gastos e Ingresos 2029'!$C:$C, N$2, 'Gastos e Ingresos 2029'!$A:$A, "&gt;="&amp;DATE(2029, 9, 1), 'Gastos e Ingresos 2029'!$A:$A, "&lt;"&amp;DATE(2029, 10, 1)), "")</f>
        <v/>
      </c>
      <c r="O11" s="78">
        <f>IF(COUNTIFS('Gastos e Ingresos 2029'!$A:$A, "&gt;="&amp;DATE(2029, 9, 1), 'Gastos e Ingresos 2029'!$A:$A, "&lt;"&amp;DATE(2029, 10, 1))&gt;0, SUMIFS('Gastos e Ingresos 2029'!$E:$E, 'Gastos e Ingresos 2029'!$D:$D, "Gasto", 'Gastos e Ingresos 2029'!$C:$C, O$2, 'Gastos e Ingresos 2029'!$A:$A, "&gt;="&amp;DATE(2029, 9, 1), 'Gastos e Ingresos 2029'!$A:$A, "&lt;"&amp;DATE(2029, 10, 1)), "")</f>
        <v/>
      </c>
      <c r="P11" s="78">
        <f>IF(COUNTIFS('Gastos e Ingresos 2029'!$A:$A, "&gt;="&amp;DATE(2029, 9, 1), 'Gastos e Ingresos 2029'!$A:$A, "&lt;"&amp;DATE(2029, 10, 1))&gt;0, SUMIFS('Gastos e Ingresos 2029'!$E:$E, 'Gastos e Ingresos 2029'!$D:$D, "Gasto", 'Gastos e Ingresos 2029'!$C:$C, P$2, 'Gastos e Ingresos 2029'!$A:$A, "&gt;="&amp;DATE(2029, 9, 1), 'Gastos e Ingresos 2029'!$A:$A, "&lt;"&amp;DATE(2029, 10, 1)), "")</f>
        <v/>
      </c>
      <c r="Q11" s="78">
        <f>IF(COUNTIFS('Gastos e Ingresos 2029'!$A:$A, "&gt;="&amp;DATE(2029, 9, 1), 'Gastos e Ingresos 2029'!$A:$A, "&lt;"&amp;DATE(2029, 10, 1))&gt;0, SUMIFS('Gastos e Ingresos 2029'!$E:$E, 'Gastos e Ingresos 2029'!$D:$D, "Gasto", 'Gastos e Ingresos 2029'!$C:$C, Q$2, 'Gastos e Ingresos 2029'!$A:$A, "&gt;="&amp;DATE(2029, 9, 1), 'Gastos e Ingresos 2029'!$A:$A, "&lt;"&amp;DATE(2029, 10, 1)), "")</f>
        <v/>
      </c>
      <c r="R11" s="78">
        <f>IF(COUNTIFS('Gastos e Ingresos 2029'!$A:$A, "&gt;="&amp;DATE(2029, 9, 1), 'Gastos e Ingresos 2029'!$A:$A, "&lt;"&amp;DATE(2029, 10, 1))&gt;0, SUMIFS('Gastos e Ingresos 2029'!$E:$E, 'Gastos e Ingresos 2029'!$D:$D, "Gasto", 'Gastos e Ingresos 2029'!$C:$C, R$2, 'Gastos e Ingresos 2029'!$A:$A, "&gt;="&amp;DATE(2029, 9, 1), 'Gastos e Ingresos 2029'!$A:$A, "&lt;"&amp;DATE(2029, 10, 1)), "")</f>
        <v/>
      </c>
    </row>
    <row r="12" ht="24" customHeight="1" s="18">
      <c r="A12" s="97" t="inlineStr">
        <is>
          <t>Octubre</t>
        </is>
      </c>
      <c r="B12" s="78">
        <f>IF(COUNTIFS('Gastos e Ingresos 2029'!$A:$A, "&gt;="&amp;DATE(2029, 10, 1), 'Gastos e Ingresos 2029'!$A:$A, "&lt;"&amp;DATE(2029, 11, 1))&gt;0, SUMIFS('Gastos e Ingresos 2029'!$E:$E, 'Gastos e Ingresos 2029'!$D:$D, "Ingreso", 'Gastos e Ingresos 2029'!$A:$A, "&gt;="&amp;DATE(2029, 10, 1), 'Gastos e Ingresos 2029'!$A:$A, "&lt;"&amp;DATE(2029, 11, 1)), "")</f>
        <v/>
      </c>
      <c r="C12" s="78">
        <f>IF(COUNTIFS('Gastos e Ingresos 2029'!$A:$A, "&gt;="&amp;DATE(2029, 10, 1), 'Gastos e Ingresos 2029'!$A:$A, "&lt;"&amp;DATE(2029, 11, 1))&gt;0, SUMIFS('Gastos e Ingresos 2029'!$E:$E, 'Gastos e Ingresos 2029'!$D:$D, "Gasto", 'Gastos e Ingresos 2029'!$A:$A, "&gt;="&amp;DATE(2029, 10, 1), 'Gastos e Ingresos 2029'!$A:$A, "&lt;"&amp;DATE(2029, 11, 1)), "")</f>
        <v/>
      </c>
      <c r="D12" s="83">
        <f>IF(B12="","",B12-C12)</f>
        <v/>
      </c>
      <c r="E12" s="98">
        <f>IF(B12="","",IF(B12&gt;0, D12/B12, 0))</f>
        <v/>
      </c>
      <c r="F12" s="75">
        <f>IF(COUNTIFS('Gastos e Ingresos 2029'!$A:$A, "&gt;="&amp;DATE(2029, 10, 1), 'Gastos e Ingresos 2029'!$A:$A, "&lt;"&amp;DATE(2029, 11, 1))&gt;0, SUMIFS('Gastos e Ingresos 2029'!$E:$E, 'Gastos e Ingresos 2029'!$D:$D, "Gasto", 'Gastos e Ingresos 2029'!$C:$C, F$2, 'Gastos e Ingresos 2029'!$A:$A, "&gt;="&amp;DATE(2029, 10, 1), 'Gastos e Ingresos 2029'!$A:$A, "&lt;"&amp;DATE(2029, 11, 1)), "")</f>
        <v/>
      </c>
      <c r="G12" s="75">
        <f>IF(COUNTIFS('Gastos e Ingresos 2029'!$A:$A, "&gt;="&amp;DATE(2029, 10, 1), 'Gastos e Ingresos 2029'!$A:$A, "&lt;"&amp;DATE(2029, 11, 1))&gt;0, SUMIFS('Gastos e Ingresos 2029'!$E:$E, 'Gastos e Ingresos 2029'!$D:$D, "Gasto", 'Gastos e Ingresos 2029'!$C:$C, G$2, 'Gastos e Ingresos 2029'!$A:$A, "&gt;="&amp;DATE(2029, 10, 1), 'Gastos e Ingresos 2029'!$A:$A, "&lt;"&amp;DATE(2029, 11, 1)), "")</f>
        <v/>
      </c>
      <c r="H12" s="75">
        <f>IF(COUNTIFS('Gastos e Ingresos 2029'!$A:$A, "&gt;="&amp;DATE(2029, 10, 1), 'Gastos e Ingresos 2029'!$A:$A, "&lt;"&amp;DATE(2029, 11, 1))&gt;0, SUMIFS('Gastos e Ingresos 2029'!$E:$E, 'Gastos e Ingresos 2029'!$D:$D, "Gasto", 'Gastos e Ingresos 2029'!$C:$C, H$2, 'Gastos e Ingresos 2029'!$A:$A, "&gt;="&amp;DATE(2029, 10, 1), 'Gastos e Ingresos 2029'!$A:$A, "&lt;"&amp;DATE(2029, 11, 1)), "")</f>
        <v/>
      </c>
      <c r="I12" s="75">
        <f>IF(COUNTIFS('Gastos e Ingresos 2029'!$A:$A, "&gt;="&amp;DATE(2029, 10, 1), 'Gastos e Ingresos 2029'!$A:$A, "&lt;"&amp;DATE(2029, 11, 1))&gt;0, SUMIFS('Gastos e Ingresos 2029'!$E:$E, 'Gastos e Ingresos 2029'!$D:$D, "Gasto", 'Gastos e Ingresos 2029'!$C:$C, I$2, 'Gastos e Ingresos 2029'!$A:$A, "&gt;="&amp;DATE(2029, 10, 1), 'Gastos e Ingresos 2029'!$A:$A, "&lt;"&amp;DATE(2029, 11, 1)), "")</f>
        <v/>
      </c>
      <c r="J12" s="75">
        <f>IF(COUNTIFS('Gastos e Ingresos 2029'!$A:$A, "&gt;="&amp;DATE(2029, 10, 1), 'Gastos e Ingresos 2029'!$A:$A, "&lt;"&amp;DATE(2029, 11, 1))&gt;0, SUMIFS('Gastos e Ingresos 2029'!$E:$E, 'Gastos e Ingresos 2029'!$D:$D, "Gasto", 'Gastos e Ingresos 2029'!$C:$C, J$2, 'Gastos e Ingresos 2029'!$A:$A, "&gt;="&amp;DATE(2029, 10, 1), 'Gastos e Ingresos 2029'!$A:$A, "&lt;"&amp;DATE(2029, 11, 1)), "")</f>
        <v/>
      </c>
      <c r="K12" s="75">
        <f>IF(COUNTIFS('Gastos e Ingresos 2029'!$A:$A, "&gt;="&amp;DATE(2029, 10, 1), 'Gastos e Ingresos 2029'!$A:$A, "&lt;"&amp;DATE(2029, 11, 1))&gt;0, SUMIFS('Gastos e Ingresos 2029'!$E:$E, 'Gastos e Ingresos 2029'!$D:$D, "Gasto", 'Gastos e Ingresos 2029'!$C:$C, K$2, 'Gastos e Ingresos 2029'!$A:$A, "&gt;="&amp;DATE(2029, 10, 1), 'Gastos e Ingresos 2029'!$A:$A, "&lt;"&amp;DATE(2029, 11, 1)), "")</f>
        <v/>
      </c>
      <c r="L12" s="75">
        <f>IF(COUNTIFS('Gastos e Ingresos 2029'!$A:$A, "&gt;="&amp;DATE(2029, 10, 1), 'Gastos e Ingresos 2029'!$A:$A, "&lt;"&amp;DATE(2029, 11, 1))&gt;0, SUMIFS('Gastos e Ingresos 2029'!$E:$E, 'Gastos e Ingresos 2029'!$D:$D, "Gasto", 'Gastos e Ingresos 2029'!$C:$C, L$2, 'Gastos e Ingresos 2029'!$A:$A, "&gt;="&amp;DATE(2029, 10, 1), 'Gastos e Ingresos 2029'!$A:$A, "&lt;"&amp;DATE(2029, 11, 1)), "")</f>
        <v/>
      </c>
      <c r="M12" s="75">
        <f>IF(COUNTIFS('Gastos e Ingresos 2029'!$A:$A, "&gt;="&amp;DATE(2029, 10, 1), 'Gastos e Ingresos 2029'!$A:$A, "&lt;"&amp;DATE(2029, 11, 1))&gt;0, SUMIFS('Gastos e Ingresos 2029'!$E:$E, 'Gastos e Ingresos 2029'!$D:$D, "Gasto", 'Gastos e Ingresos 2029'!$C:$C, M$2, 'Gastos e Ingresos 2029'!$A:$A, "&gt;="&amp;DATE(2029, 10, 1), 'Gastos e Ingresos 2029'!$A:$A, "&lt;"&amp;DATE(2029, 11, 1)), "")</f>
        <v/>
      </c>
      <c r="N12" s="75">
        <f>IF(COUNTIFS('Gastos e Ingresos 2029'!$A:$A, "&gt;="&amp;DATE(2029, 10, 1), 'Gastos e Ingresos 2029'!$A:$A, "&lt;"&amp;DATE(2029, 11, 1))&gt;0, SUMIFS('Gastos e Ingresos 2029'!$E:$E, 'Gastos e Ingresos 2029'!$D:$D, "Gasto", 'Gastos e Ingresos 2029'!$C:$C, N$2, 'Gastos e Ingresos 2029'!$A:$A, "&gt;="&amp;DATE(2029, 10, 1), 'Gastos e Ingresos 2029'!$A:$A, "&lt;"&amp;DATE(2029, 11, 1)), "")</f>
        <v/>
      </c>
      <c r="O12" s="75">
        <f>IF(COUNTIFS('Gastos e Ingresos 2029'!$A:$A, "&gt;="&amp;DATE(2029, 10, 1), 'Gastos e Ingresos 2029'!$A:$A, "&lt;"&amp;DATE(2029, 11, 1))&gt;0, SUMIFS('Gastos e Ingresos 2029'!$E:$E, 'Gastos e Ingresos 2029'!$D:$D, "Gasto", 'Gastos e Ingresos 2029'!$C:$C, O$2, 'Gastos e Ingresos 2029'!$A:$A, "&gt;="&amp;DATE(2029, 10, 1), 'Gastos e Ingresos 2029'!$A:$A, "&lt;"&amp;DATE(2029, 11, 1)), "")</f>
        <v/>
      </c>
      <c r="P12" s="75">
        <f>IF(COUNTIFS('Gastos e Ingresos 2029'!$A:$A, "&gt;="&amp;DATE(2029, 10, 1), 'Gastos e Ingresos 2029'!$A:$A, "&lt;"&amp;DATE(2029, 11, 1))&gt;0, SUMIFS('Gastos e Ingresos 2029'!$E:$E, 'Gastos e Ingresos 2029'!$D:$D, "Gasto", 'Gastos e Ingresos 2029'!$C:$C, P$2, 'Gastos e Ingresos 2029'!$A:$A, "&gt;="&amp;DATE(2029, 10, 1), 'Gastos e Ingresos 2029'!$A:$A, "&lt;"&amp;DATE(2029, 11, 1)), "")</f>
        <v/>
      </c>
      <c r="Q12" s="75">
        <f>IF(COUNTIFS('Gastos e Ingresos 2029'!$A:$A, "&gt;="&amp;DATE(2029, 10, 1), 'Gastos e Ingresos 2029'!$A:$A, "&lt;"&amp;DATE(2029, 11, 1))&gt;0, SUMIFS('Gastos e Ingresos 2029'!$E:$E, 'Gastos e Ingresos 2029'!$D:$D, "Gasto", 'Gastos e Ingresos 2029'!$C:$C, Q$2, 'Gastos e Ingresos 2029'!$A:$A, "&gt;="&amp;DATE(2029, 10, 1), 'Gastos e Ingresos 2029'!$A:$A, "&lt;"&amp;DATE(2029, 11, 1)), "")</f>
        <v/>
      </c>
      <c r="R12" s="75">
        <f>IF(COUNTIFS('Gastos e Ingresos 2029'!$A:$A, "&gt;="&amp;DATE(2029, 10, 1), 'Gastos e Ingresos 2029'!$A:$A, "&lt;"&amp;DATE(2029, 11, 1))&gt;0, SUMIFS('Gastos e Ingresos 2029'!$E:$E, 'Gastos e Ingresos 2029'!$D:$D, "Gasto", 'Gastos e Ingresos 2029'!$C:$C, R$2, 'Gastos e Ingresos 2029'!$A:$A, "&gt;="&amp;DATE(2029, 10, 1), 'Gastos e Ingresos 2029'!$A:$A, "&lt;"&amp;DATE(2029, 11, 1)), "")</f>
        <v/>
      </c>
    </row>
    <row r="13" ht="24" customHeight="1" s="18">
      <c r="A13" s="97" t="inlineStr">
        <is>
          <t>Noviembre</t>
        </is>
      </c>
      <c r="B13" s="78">
        <f>IF(COUNTIFS('Gastos e Ingresos 2029'!$A:$A, "&gt;="&amp;DATE(2029, 11, 1), 'Gastos e Ingresos 2029'!$A:$A, "&lt;"&amp;DATE(2029, 12, 1))&gt;0, SUMIFS('Gastos e Ingresos 2029'!$E:$E, 'Gastos e Ingresos 2029'!$D:$D, "Ingreso", 'Gastos e Ingresos 2029'!$A:$A, "&gt;="&amp;DATE(2029, 11, 1), 'Gastos e Ingresos 2029'!$A:$A, "&lt;"&amp;DATE(2029, 12, 1)), "")</f>
        <v/>
      </c>
      <c r="C13" s="78">
        <f>IF(COUNTIFS('Gastos e Ingresos 2029'!$A:$A, "&gt;="&amp;DATE(2029, 11, 1), 'Gastos e Ingresos 2029'!$A:$A, "&lt;"&amp;DATE(2029, 12, 1))&gt;0, SUMIFS('Gastos e Ingresos 2029'!$E:$E, 'Gastos e Ingresos 2029'!$D:$D, "Gasto", 'Gastos e Ingresos 2029'!$A:$A, "&gt;="&amp;DATE(2029, 11, 1), 'Gastos e Ingresos 2029'!$A:$A, "&lt;"&amp;DATE(2029, 12, 1)), "")</f>
        <v/>
      </c>
      <c r="D13" s="83">
        <f>IF(B13="","",B13-C13)</f>
        <v/>
      </c>
      <c r="E13" s="98">
        <f>IF(B13="","",IF(B13&gt;0, D13/B13, 0))</f>
        <v/>
      </c>
      <c r="F13" s="78">
        <f>IF(COUNTIFS('Gastos e Ingresos 2029'!$A:$A, "&gt;="&amp;DATE(2029, 11, 1), 'Gastos e Ingresos 2029'!$A:$A, "&lt;"&amp;DATE(2029, 12, 1))&gt;0, SUMIFS('Gastos e Ingresos 2029'!$E:$E, 'Gastos e Ingresos 2029'!$D:$D, "Gasto", 'Gastos e Ingresos 2029'!$C:$C, F$2, 'Gastos e Ingresos 2029'!$A:$A, "&gt;="&amp;DATE(2029, 11, 1), 'Gastos e Ingresos 2029'!$A:$A, "&lt;"&amp;DATE(2029, 12, 1)), "")</f>
        <v/>
      </c>
      <c r="G13" s="78">
        <f>IF(COUNTIFS('Gastos e Ingresos 2029'!$A:$A, "&gt;="&amp;DATE(2029, 11, 1), 'Gastos e Ingresos 2029'!$A:$A, "&lt;"&amp;DATE(2029, 12, 1))&gt;0, SUMIFS('Gastos e Ingresos 2029'!$E:$E, 'Gastos e Ingresos 2029'!$D:$D, "Gasto", 'Gastos e Ingresos 2029'!$C:$C, G$2, 'Gastos e Ingresos 2029'!$A:$A, "&gt;="&amp;DATE(2029, 11, 1), 'Gastos e Ingresos 2029'!$A:$A, "&lt;"&amp;DATE(2029, 12, 1)), "")</f>
        <v/>
      </c>
      <c r="H13" s="78">
        <f>IF(COUNTIFS('Gastos e Ingresos 2029'!$A:$A, "&gt;="&amp;DATE(2029, 11, 1), 'Gastos e Ingresos 2029'!$A:$A, "&lt;"&amp;DATE(2029, 12, 1))&gt;0, SUMIFS('Gastos e Ingresos 2029'!$E:$E, 'Gastos e Ingresos 2029'!$D:$D, "Gasto", 'Gastos e Ingresos 2029'!$C:$C, H$2, 'Gastos e Ingresos 2029'!$A:$A, "&gt;="&amp;DATE(2029, 11, 1), 'Gastos e Ingresos 2029'!$A:$A, "&lt;"&amp;DATE(2029, 12, 1)), "")</f>
        <v/>
      </c>
      <c r="I13" s="78">
        <f>IF(COUNTIFS('Gastos e Ingresos 2029'!$A:$A, "&gt;="&amp;DATE(2029, 11, 1), 'Gastos e Ingresos 2029'!$A:$A, "&lt;"&amp;DATE(2029, 12, 1))&gt;0, SUMIFS('Gastos e Ingresos 2029'!$E:$E, 'Gastos e Ingresos 2029'!$D:$D, "Gasto", 'Gastos e Ingresos 2029'!$C:$C, I$2, 'Gastos e Ingresos 2029'!$A:$A, "&gt;="&amp;DATE(2029, 11, 1), 'Gastos e Ingresos 2029'!$A:$A, "&lt;"&amp;DATE(2029, 12, 1)), "")</f>
        <v/>
      </c>
      <c r="J13" s="78">
        <f>IF(COUNTIFS('Gastos e Ingresos 2029'!$A:$A, "&gt;="&amp;DATE(2029, 11, 1), 'Gastos e Ingresos 2029'!$A:$A, "&lt;"&amp;DATE(2029, 12, 1))&gt;0, SUMIFS('Gastos e Ingresos 2029'!$E:$E, 'Gastos e Ingresos 2029'!$D:$D, "Gasto", 'Gastos e Ingresos 2029'!$C:$C, J$2, 'Gastos e Ingresos 2029'!$A:$A, "&gt;="&amp;DATE(2029, 11, 1), 'Gastos e Ingresos 2029'!$A:$A, "&lt;"&amp;DATE(2029, 12, 1)), "")</f>
        <v/>
      </c>
      <c r="K13" s="78">
        <f>IF(COUNTIFS('Gastos e Ingresos 2029'!$A:$A, "&gt;="&amp;DATE(2029, 11, 1), 'Gastos e Ingresos 2029'!$A:$A, "&lt;"&amp;DATE(2029, 12, 1))&gt;0, SUMIFS('Gastos e Ingresos 2029'!$E:$E, 'Gastos e Ingresos 2029'!$D:$D, "Gasto", 'Gastos e Ingresos 2029'!$C:$C, K$2, 'Gastos e Ingresos 2029'!$A:$A, "&gt;="&amp;DATE(2029, 11, 1), 'Gastos e Ingresos 2029'!$A:$A, "&lt;"&amp;DATE(2029, 12, 1)), "")</f>
        <v/>
      </c>
      <c r="L13" s="78">
        <f>IF(COUNTIFS('Gastos e Ingresos 2029'!$A:$A, "&gt;="&amp;DATE(2029, 11, 1), 'Gastos e Ingresos 2029'!$A:$A, "&lt;"&amp;DATE(2029, 12, 1))&gt;0, SUMIFS('Gastos e Ingresos 2029'!$E:$E, 'Gastos e Ingresos 2029'!$D:$D, "Gasto", 'Gastos e Ingresos 2029'!$C:$C, L$2, 'Gastos e Ingresos 2029'!$A:$A, "&gt;="&amp;DATE(2029, 11, 1), 'Gastos e Ingresos 2029'!$A:$A, "&lt;"&amp;DATE(2029, 12, 1)), "")</f>
        <v/>
      </c>
      <c r="M13" s="78">
        <f>IF(COUNTIFS('Gastos e Ingresos 2029'!$A:$A, "&gt;="&amp;DATE(2029, 11, 1), 'Gastos e Ingresos 2029'!$A:$A, "&lt;"&amp;DATE(2029, 12, 1))&gt;0, SUMIFS('Gastos e Ingresos 2029'!$E:$E, 'Gastos e Ingresos 2029'!$D:$D, "Gasto", 'Gastos e Ingresos 2029'!$C:$C, M$2, 'Gastos e Ingresos 2029'!$A:$A, "&gt;="&amp;DATE(2029, 11, 1), 'Gastos e Ingresos 2029'!$A:$A, "&lt;"&amp;DATE(2029, 12, 1)), "")</f>
        <v/>
      </c>
      <c r="N13" s="78">
        <f>IF(COUNTIFS('Gastos e Ingresos 2029'!$A:$A, "&gt;="&amp;DATE(2029, 11, 1), 'Gastos e Ingresos 2029'!$A:$A, "&lt;"&amp;DATE(2029, 12, 1))&gt;0, SUMIFS('Gastos e Ingresos 2029'!$E:$E, 'Gastos e Ingresos 2029'!$D:$D, "Gasto", 'Gastos e Ingresos 2029'!$C:$C, N$2, 'Gastos e Ingresos 2029'!$A:$A, "&gt;="&amp;DATE(2029, 11, 1), 'Gastos e Ingresos 2029'!$A:$A, "&lt;"&amp;DATE(2029, 12, 1)), "")</f>
        <v/>
      </c>
      <c r="O13" s="78">
        <f>IF(COUNTIFS('Gastos e Ingresos 2029'!$A:$A, "&gt;="&amp;DATE(2029, 11, 1), 'Gastos e Ingresos 2029'!$A:$A, "&lt;"&amp;DATE(2029, 12, 1))&gt;0, SUMIFS('Gastos e Ingresos 2029'!$E:$E, 'Gastos e Ingresos 2029'!$D:$D, "Gasto", 'Gastos e Ingresos 2029'!$C:$C, O$2, 'Gastos e Ingresos 2029'!$A:$A, "&gt;="&amp;DATE(2029, 11, 1), 'Gastos e Ingresos 2029'!$A:$A, "&lt;"&amp;DATE(2029, 12, 1)), "")</f>
        <v/>
      </c>
      <c r="P13" s="78">
        <f>IF(COUNTIFS('Gastos e Ingresos 2029'!$A:$A, "&gt;="&amp;DATE(2029, 11, 1), 'Gastos e Ingresos 2029'!$A:$A, "&lt;"&amp;DATE(2029, 12, 1))&gt;0, SUMIFS('Gastos e Ingresos 2029'!$E:$E, 'Gastos e Ingresos 2029'!$D:$D, "Gasto", 'Gastos e Ingresos 2029'!$C:$C, P$2, 'Gastos e Ingresos 2029'!$A:$A, "&gt;="&amp;DATE(2029, 11, 1), 'Gastos e Ingresos 2029'!$A:$A, "&lt;"&amp;DATE(2029, 12, 1)), "")</f>
        <v/>
      </c>
      <c r="Q13" s="78">
        <f>IF(COUNTIFS('Gastos e Ingresos 2029'!$A:$A, "&gt;="&amp;DATE(2029, 11, 1), 'Gastos e Ingresos 2029'!$A:$A, "&lt;"&amp;DATE(2029, 12, 1))&gt;0, SUMIFS('Gastos e Ingresos 2029'!$E:$E, 'Gastos e Ingresos 2029'!$D:$D, "Gasto", 'Gastos e Ingresos 2029'!$C:$C, Q$2, 'Gastos e Ingresos 2029'!$A:$A, "&gt;="&amp;DATE(2029, 11, 1), 'Gastos e Ingresos 2029'!$A:$A, "&lt;"&amp;DATE(2029, 12, 1)), "")</f>
        <v/>
      </c>
      <c r="R13" s="78">
        <f>IF(COUNTIFS('Gastos e Ingresos 2029'!$A:$A, "&gt;="&amp;DATE(2029, 11, 1), 'Gastos e Ingresos 2029'!$A:$A, "&lt;"&amp;DATE(2029, 12, 1))&gt;0, SUMIFS('Gastos e Ingresos 2029'!$E:$E, 'Gastos e Ingresos 2029'!$D:$D, "Gasto", 'Gastos e Ingresos 2029'!$C:$C, R$2, 'Gastos e Ingresos 2029'!$A:$A, "&gt;="&amp;DATE(2029, 11, 1), 'Gastos e Ingresos 2029'!$A:$A, "&lt;"&amp;DATE(2029, 12, 1)), "")</f>
        <v/>
      </c>
    </row>
    <row r="14" ht="24" customHeight="1" s="18">
      <c r="A14" s="97" t="inlineStr">
        <is>
          <t>Diciembre</t>
        </is>
      </c>
      <c r="B14" s="78">
        <f>IF(COUNTIFS('Gastos e Ingresos 2029'!$A:$A, "&gt;="&amp;DATE(2029, 12, 1), 'Gastos e Ingresos 2029'!$A:$A, "&lt;"&amp;DATE(2029, 13, 1))&gt;0, SUMIFS('Gastos e Ingresos 2029'!$E:$E, 'Gastos e Ingresos 2029'!$D:$D, "Ingreso", 'Gastos e Ingresos 2029'!$A:$A, "&gt;="&amp;DATE(2029, 12, 1), 'Gastos e Ingresos 2029'!$A:$A, "&lt;"&amp;DATE(2029, 13, 1)), "")</f>
        <v/>
      </c>
      <c r="C14" s="78">
        <f>IF(COUNTIFS('Gastos e Ingresos 2029'!$A:$A, "&gt;="&amp;DATE(2029, 12, 1), 'Gastos e Ingresos 2029'!$A:$A, "&lt;"&amp;DATE(2029, 13, 1))&gt;0, SUMIFS('Gastos e Ingresos 2029'!$E:$E, 'Gastos e Ingresos 2029'!$D:$D, "Gasto", 'Gastos e Ingresos 2029'!$A:$A, "&gt;="&amp;DATE(2029, 12, 1), 'Gastos e Ingresos 2029'!$A:$A, "&lt;"&amp;DATE(2029, 13, 1)), "")</f>
        <v/>
      </c>
      <c r="D14" s="83">
        <f>IF(B14="","",B14-C14)</f>
        <v/>
      </c>
      <c r="E14" s="98">
        <f>IF(B14="","",IF(B14&gt;0, D14/B14, 0))</f>
        <v/>
      </c>
      <c r="F14" s="75">
        <f>IF(COUNTIFS('Gastos e Ingresos 2029'!$A:$A, "&gt;="&amp;DATE(2029, 12, 1), 'Gastos e Ingresos 2029'!$A:$A, "&lt;"&amp;DATE(2029, 13, 1))&gt;0, SUMIFS('Gastos e Ingresos 2029'!$E:$E, 'Gastos e Ingresos 2029'!$D:$D, "Gasto", 'Gastos e Ingresos 2029'!$C:$C, F$2, 'Gastos e Ingresos 2029'!$A:$A, "&gt;="&amp;DATE(2029, 12, 1), 'Gastos e Ingresos 2029'!$A:$A, "&lt;"&amp;DATE(2029, 13, 1)), "")</f>
        <v/>
      </c>
      <c r="G14" s="75">
        <f>IF(COUNTIFS('Gastos e Ingresos 2029'!$A:$A, "&gt;="&amp;DATE(2029, 12, 1), 'Gastos e Ingresos 2029'!$A:$A, "&lt;"&amp;DATE(2029, 13, 1))&gt;0, SUMIFS('Gastos e Ingresos 2029'!$E:$E, 'Gastos e Ingresos 2029'!$D:$D, "Gasto", 'Gastos e Ingresos 2029'!$C:$C, G$2, 'Gastos e Ingresos 2029'!$A:$A, "&gt;="&amp;DATE(2029, 12, 1), 'Gastos e Ingresos 2029'!$A:$A, "&lt;"&amp;DATE(2029, 13, 1)), "")</f>
        <v/>
      </c>
      <c r="H14" s="75">
        <f>IF(COUNTIFS('Gastos e Ingresos 2029'!$A:$A, "&gt;="&amp;DATE(2029, 12, 1), 'Gastos e Ingresos 2029'!$A:$A, "&lt;"&amp;DATE(2029, 13, 1))&gt;0, SUMIFS('Gastos e Ingresos 2029'!$E:$E, 'Gastos e Ingresos 2029'!$D:$D, "Gasto", 'Gastos e Ingresos 2029'!$C:$C, H$2, 'Gastos e Ingresos 2029'!$A:$A, "&gt;="&amp;DATE(2029, 12, 1), 'Gastos e Ingresos 2029'!$A:$A, "&lt;"&amp;DATE(2029, 13, 1)), "")</f>
        <v/>
      </c>
      <c r="I14" s="75">
        <f>IF(COUNTIFS('Gastos e Ingresos 2029'!$A:$A, "&gt;="&amp;DATE(2029, 12, 1), 'Gastos e Ingresos 2029'!$A:$A, "&lt;"&amp;DATE(2029, 13, 1))&gt;0, SUMIFS('Gastos e Ingresos 2029'!$E:$E, 'Gastos e Ingresos 2029'!$D:$D, "Gasto", 'Gastos e Ingresos 2029'!$C:$C, I$2, 'Gastos e Ingresos 2029'!$A:$A, "&gt;="&amp;DATE(2029, 12, 1), 'Gastos e Ingresos 2029'!$A:$A, "&lt;"&amp;DATE(2029, 13, 1)), "")</f>
        <v/>
      </c>
      <c r="J14" s="75">
        <f>IF(COUNTIFS('Gastos e Ingresos 2029'!$A:$A, "&gt;="&amp;DATE(2029, 12, 1), 'Gastos e Ingresos 2029'!$A:$A, "&lt;"&amp;DATE(2029, 13, 1))&gt;0, SUMIFS('Gastos e Ingresos 2029'!$E:$E, 'Gastos e Ingresos 2029'!$D:$D, "Gasto", 'Gastos e Ingresos 2029'!$C:$C, J$2, 'Gastos e Ingresos 2029'!$A:$A, "&gt;="&amp;DATE(2029, 12, 1), 'Gastos e Ingresos 2029'!$A:$A, "&lt;"&amp;DATE(2029, 13, 1)), "")</f>
        <v/>
      </c>
      <c r="K14" s="75">
        <f>IF(COUNTIFS('Gastos e Ingresos 2029'!$A:$A, "&gt;="&amp;DATE(2029, 12, 1), 'Gastos e Ingresos 2029'!$A:$A, "&lt;"&amp;DATE(2029, 13, 1))&gt;0, SUMIFS('Gastos e Ingresos 2029'!$E:$E, 'Gastos e Ingresos 2029'!$D:$D, "Gasto", 'Gastos e Ingresos 2029'!$C:$C, K$2, 'Gastos e Ingresos 2029'!$A:$A, "&gt;="&amp;DATE(2029, 12, 1), 'Gastos e Ingresos 2029'!$A:$A, "&lt;"&amp;DATE(2029, 13, 1)), "")</f>
        <v/>
      </c>
      <c r="L14" s="75">
        <f>IF(COUNTIFS('Gastos e Ingresos 2029'!$A:$A, "&gt;="&amp;DATE(2029, 12, 1), 'Gastos e Ingresos 2029'!$A:$A, "&lt;"&amp;DATE(2029, 13, 1))&gt;0, SUMIFS('Gastos e Ingresos 2029'!$E:$E, 'Gastos e Ingresos 2029'!$D:$D, "Gasto", 'Gastos e Ingresos 2029'!$C:$C, L$2, 'Gastos e Ingresos 2029'!$A:$A, "&gt;="&amp;DATE(2029, 12, 1), 'Gastos e Ingresos 2029'!$A:$A, "&lt;"&amp;DATE(2029, 13, 1)), "")</f>
        <v/>
      </c>
      <c r="M14" s="75">
        <f>IF(COUNTIFS('Gastos e Ingresos 2029'!$A:$A, "&gt;="&amp;DATE(2029, 12, 1), 'Gastos e Ingresos 2029'!$A:$A, "&lt;"&amp;DATE(2029, 13, 1))&gt;0, SUMIFS('Gastos e Ingresos 2029'!$E:$E, 'Gastos e Ingresos 2029'!$D:$D, "Gasto", 'Gastos e Ingresos 2029'!$C:$C, M$2, 'Gastos e Ingresos 2029'!$A:$A, "&gt;="&amp;DATE(2029, 12, 1), 'Gastos e Ingresos 2029'!$A:$A, "&lt;"&amp;DATE(2029, 13, 1)), "")</f>
        <v/>
      </c>
      <c r="N14" s="75">
        <f>IF(COUNTIFS('Gastos e Ingresos 2029'!$A:$A, "&gt;="&amp;DATE(2029, 12, 1), 'Gastos e Ingresos 2029'!$A:$A, "&lt;"&amp;DATE(2029, 13, 1))&gt;0, SUMIFS('Gastos e Ingresos 2029'!$E:$E, 'Gastos e Ingresos 2029'!$D:$D, "Gasto", 'Gastos e Ingresos 2029'!$C:$C, N$2, 'Gastos e Ingresos 2029'!$A:$A, "&gt;="&amp;DATE(2029, 12, 1), 'Gastos e Ingresos 2029'!$A:$A, "&lt;"&amp;DATE(2029, 13, 1)), "")</f>
        <v/>
      </c>
      <c r="O14" s="75">
        <f>IF(COUNTIFS('Gastos e Ingresos 2029'!$A:$A, "&gt;="&amp;DATE(2029, 12, 1), 'Gastos e Ingresos 2029'!$A:$A, "&lt;"&amp;DATE(2029, 13, 1))&gt;0, SUMIFS('Gastos e Ingresos 2029'!$E:$E, 'Gastos e Ingresos 2029'!$D:$D, "Gasto", 'Gastos e Ingresos 2029'!$C:$C, O$2, 'Gastos e Ingresos 2029'!$A:$A, "&gt;="&amp;DATE(2029, 12, 1), 'Gastos e Ingresos 2029'!$A:$A, "&lt;"&amp;DATE(2029, 13, 1)), "")</f>
        <v/>
      </c>
      <c r="P14" s="75">
        <f>IF(COUNTIFS('Gastos e Ingresos 2029'!$A:$A, "&gt;="&amp;DATE(2029, 12, 1), 'Gastos e Ingresos 2029'!$A:$A, "&lt;"&amp;DATE(2029, 13, 1))&gt;0, SUMIFS('Gastos e Ingresos 2029'!$E:$E, 'Gastos e Ingresos 2029'!$D:$D, "Gasto", 'Gastos e Ingresos 2029'!$C:$C, P$2, 'Gastos e Ingresos 2029'!$A:$A, "&gt;="&amp;DATE(2029, 12, 1), 'Gastos e Ingresos 2029'!$A:$A, "&lt;"&amp;DATE(2029, 13, 1)), "")</f>
        <v/>
      </c>
      <c r="Q14" s="75">
        <f>IF(COUNTIFS('Gastos e Ingresos 2029'!$A:$A, "&gt;="&amp;DATE(2029, 12, 1), 'Gastos e Ingresos 2029'!$A:$A, "&lt;"&amp;DATE(2029, 13, 1))&gt;0, SUMIFS('Gastos e Ingresos 2029'!$E:$E, 'Gastos e Ingresos 2029'!$D:$D, "Gasto", 'Gastos e Ingresos 2029'!$C:$C, Q$2, 'Gastos e Ingresos 2029'!$A:$A, "&gt;="&amp;DATE(2029, 12, 1), 'Gastos e Ingresos 2029'!$A:$A, "&lt;"&amp;DATE(2029, 13, 1)), "")</f>
        <v/>
      </c>
      <c r="R14" s="75">
        <f>IF(COUNTIFS('Gastos e Ingresos 2029'!$A:$A, "&gt;="&amp;DATE(2029, 12, 1), 'Gastos e Ingresos 2029'!$A:$A, "&lt;"&amp;DATE(2029, 13, 1))&gt;0, SUMIFS('Gastos e Ingresos 2029'!$E:$E, 'Gastos e Ingresos 2029'!$D:$D, "Gasto", 'Gastos e Ingresos 2029'!$C:$C, R$2, 'Gastos e Ingresos 2029'!$A:$A, "&gt;="&amp;DATE(2029, 12, 1), 'Gastos e Ingresos 2029'!$A:$A, "&lt;"&amp;DATE(2029, 13, 1)), "")</f>
        <v/>
      </c>
    </row>
    <row r="15" ht="26" customHeight="1" s="18">
      <c r="A15" s="99" t="inlineStr">
        <is>
          <t>Total Anual</t>
        </is>
      </c>
      <c r="B15" s="86">
        <f>SUM(B3:B14)</f>
        <v/>
      </c>
      <c r="C15" s="86">
        <f>SUM(C3:C14)</f>
        <v/>
      </c>
      <c r="D15" s="86">
        <f>B15-C15</f>
        <v/>
      </c>
      <c r="E15" s="100">
        <f>IF(B15&gt;0, D15/B15, 0)</f>
        <v/>
      </c>
      <c r="F15" s="86">
        <f>SUM(F3:F14)</f>
        <v/>
      </c>
      <c r="G15" s="86">
        <f>SUM(G3:G14)</f>
        <v/>
      </c>
      <c r="H15" s="86">
        <f>SUM(H3:H14)</f>
        <v/>
      </c>
      <c r="I15" s="86">
        <f>SUM(I3:I14)</f>
        <v/>
      </c>
      <c r="J15" s="86">
        <f>SUM(J3:J14)</f>
        <v/>
      </c>
      <c r="K15" s="86">
        <f>SUM(K3:K14)</f>
        <v/>
      </c>
      <c r="L15" s="86">
        <f>SUM(L3:L14)</f>
        <v/>
      </c>
      <c r="M15" s="86">
        <f>SUM(M3:M14)</f>
        <v/>
      </c>
      <c r="N15" s="86">
        <f>SUM(N3:N14)</f>
        <v/>
      </c>
      <c r="O15" s="86">
        <f>SUM(O3:O14)</f>
        <v/>
      </c>
      <c r="P15" s="86">
        <f>SUM(P3:P14)</f>
        <v/>
      </c>
      <c r="Q15" s="86">
        <f>SUM(Q3:Q14)</f>
        <v/>
      </c>
      <c r="R15" s="86">
        <f>SUM(R3:R14)</f>
        <v/>
      </c>
    </row>
  </sheetData>
  <conditionalFormatting sqref="D3:D14">
    <cfRule type="cellIs" priority="1" operator="greaterThanOrEqual" dxfId="7">
      <formula>0</formula>
    </cfRule>
    <cfRule type="cellIs" priority="2" operator="lessThan" dxfId="8">
      <formula>0</formula>
    </cfRule>
    <cfRule type="cellIs" priority="1" operator="greaterThanOrEqual" dxfId="7">
      <formula>0</formula>
    </cfRule>
    <cfRule type="cellIs" priority="2" operator="lessThan" dxfId="8">
      <formula>0</formula>
    </cfRule>
  </conditionalFormatting>
  <conditionalFormatting sqref="D15">
    <cfRule type="cellIs" priority="1" operator="greaterThanOrEqual" dxfId="7">
      <formula>0</formula>
    </cfRule>
    <cfRule type="cellIs" priority="2" operator="lessThan" dxfId="8">
      <formula>0</formula>
    </cfRule>
    <cfRule type="cellIs" priority="1" operator="greaterThanOrEqual" dxfId="7">
      <formula>0</formula>
    </cfRule>
    <cfRule type="cellIs" priority="2" operator="lessThan" dxfId="8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9"/>
  <sheetViews>
    <sheetView showGridLines="1" workbookViewId="0">
      <selection activeCell="A1" sqref="A1"/>
    </sheetView>
  </sheetViews>
  <sheetFormatPr baseColWidth="8" defaultRowHeight="15" outlineLevelCol="0"/>
  <cols>
    <col width="18" customWidth="1" style="18" min="1" max="1"/>
    <col width="32" customWidth="1" style="18" min="2" max="2"/>
    <col width="24" customWidth="1" style="18" min="3" max="3"/>
    <col width="16" customWidth="1" style="18" min="4" max="4"/>
    <col width="20" customWidth="1" style="18" min="5" max="5"/>
  </cols>
  <sheetData>
    <row r="1" ht="30" customHeight="1" s="18">
      <c r="A1" s="65" t="inlineStr">
        <is>
          <t>Fecha</t>
        </is>
      </c>
      <c r="B1" s="65" t="inlineStr">
        <is>
          <t>Descripción</t>
        </is>
      </c>
      <c r="C1" s="65" t="inlineStr">
        <is>
          <t>Categoría</t>
        </is>
      </c>
      <c r="D1" s="65" t="inlineStr">
        <is>
          <t>Tipo</t>
        </is>
      </c>
      <c r="E1" s="65" t="inlineStr">
        <is>
          <t>Importe (€)</t>
        </is>
      </c>
    </row>
    <row r="2" ht="25" customHeight="1" s="18">
      <c r="A2" s="101" t="n"/>
      <c r="B2" s="89" t="n"/>
      <c r="C2" s="74" t="n"/>
      <c r="D2" s="74" t="n"/>
      <c r="E2" s="75" t="n"/>
    </row>
    <row r="3" ht="25" customHeight="1" s="18">
      <c r="A3" s="102" t="n"/>
      <c r="B3" s="66" t="n"/>
      <c r="C3" s="77" t="n"/>
      <c r="D3" s="77" t="n"/>
      <c r="E3" s="78" t="n"/>
    </row>
    <row r="4" ht="25" customHeight="1" s="18">
      <c r="A4" s="101" t="n"/>
      <c r="B4" s="89" t="n"/>
      <c r="C4" s="74" t="n"/>
      <c r="D4" s="74" t="n"/>
      <c r="E4" s="75" t="n"/>
    </row>
    <row r="5" ht="25" customHeight="1" s="18">
      <c r="A5" s="102" t="n"/>
      <c r="B5" s="66" t="n"/>
      <c r="C5" s="77" t="n"/>
      <c r="D5" s="77" t="n"/>
      <c r="E5" s="78" t="n"/>
    </row>
    <row r="6" ht="25" customHeight="1" s="18">
      <c r="A6" s="101" t="n"/>
      <c r="B6" s="89" t="n"/>
      <c r="C6" s="74" t="n"/>
      <c r="D6" s="74" t="n"/>
      <c r="E6" s="75" t="n"/>
    </row>
    <row r="7" ht="25" customHeight="1" s="18">
      <c r="A7" s="102" t="n"/>
      <c r="B7" s="66" t="n"/>
      <c r="C7" s="77" t="n"/>
      <c r="D7" s="77" t="n"/>
      <c r="E7" s="78" t="n"/>
    </row>
    <row r="8" ht="25" customHeight="1" s="18">
      <c r="A8" s="101" t="n"/>
      <c r="B8" s="89" t="n"/>
      <c r="C8" s="74" t="n"/>
      <c r="D8" s="74" t="n"/>
      <c r="E8" s="75" t="n"/>
    </row>
    <row r="9" ht="25" customHeight="1" s="18">
      <c r="A9" s="102" t="n"/>
      <c r="B9" s="66" t="n"/>
      <c r="C9" s="77" t="n"/>
      <c r="D9" s="77" t="n"/>
      <c r="E9" s="78" t="n"/>
    </row>
    <row r="10" ht="25" customHeight="1" s="18">
      <c r="A10" s="101" t="n"/>
      <c r="B10" s="89" t="n"/>
      <c r="C10" s="74" t="n"/>
      <c r="D10" s="74" t="n"/>
      <c r="E10" s="75" t="n"/>
    </row>
    <row r="11" ht="25" customHeight="1" s="18">
      <c r="A11" s="102" t="n"/>
      <c r="B11" s="66" t="n"/>
      <c r="C11" s="77" t="n"/>
      <c r="D11" s="77" t="n"/>
      <c r="E11" s="78" t="n"/>
    </row>
    <row r="12" ht="25" customHeight="1" s="18">
      <c r="A12" s="101" t="n"/>
      <c r="B12" s="89" t="n"/>
      <c r="C12" s="74" t="n"/>
      <c r="D12" s="74" t="n"/>
      <c r="E12" s="75" t="n"/>
    </row>
    <row r="13" ht="25" customHeight="1" s="18">
      <c r="A13" s="102" t="n"/>
      <c r="B13" s="66" t="n"/>
      <c r="C13" s="77" t="n"/>
      <c r="D13" s="77" t="n"/>
      <c r="E13" s="78" t="n"/>
    </row>
    <row r="14" ht="25" customHeight="1" s="18">
      <c r="A14" s="101" t="n"/>
      <c r="B14" s="89" t="n"/>
      <c r="C14" s="74" t="n"/>
      <c r="D14" s="74" t="n"/>
      <c r="E14" s="75" t="n"/>
    </row>
    <row r="15" ht="25" customHeight="1" s="18">
      <c r="A15" s="102" t="n"/>
      <c r="B15" s="66" t="n"/>
      <c r="C15" s="77" t="n"/>
      <c r="D15" s="77" t="n"/>
      <c r="E15" s="78" t="n"/>
    </row>
    <row r="16" ht="25" customHeight="1" s="18">
      <c r="A16" s="101" t="n"/>
      <c r="B16" s="89" t="n"/>
      <c r="C16" s="74" t="n"/>
      <c r="D16" s="74" t="n"/>
      <c r="E16" s="75" t="n"/>
    </row>
    <row r="17" ht="25" customHeight="1" s="18">
      <c r="A17" s="102" t="n"/>
      <c r="B17" s="66" t="n"/>
      <c r="C17" s="77" t="n"/>
      <c r="D17" s="77" t="n"/>
      <c r="E17" s="78" t="n"/>
    </row>
    <row r="18" ht="25" customHeight="1" s="18">
      <c r="A18" s="101" t="n"/>
      <c r="B18" s="89" t="n"/>
      <c r="C18" s="74" t="n"/>
      <c r="D18" s="74" t="n"/>
      <c r="E18" s="75" t="n"/>
    </row>
    <row r="19" ht="25" customHeight="1" s="18">
      <c r="A19" s="102" t="n"/>
      <c r="B19" s="66" t="n"/>
      <c r="C19" s="77" t="n"/>
      <c r="D19" s="77" t="n"/>
      <c r="E19" s="78" t="n"/>
    </row>
    <row r="20" ht="25" customHeight="1" s="18">
      <c r="A20" s="101" t="n"/>
      <c r="B20" s="89" t="n"/>
      <c r="C20" s="74" t="n"/>
      <c r="D20" s="74" t="n"/>
      <c r="E20" s="75" t="n"/>
    </row>
    <row r="21" ht="25" customHeight="1" s="18">
      <c r="A21" s="102" t="n"/>
      <c r="B21" s="66" t="n"/>
      <c r="C21" s="77" t="n"/>
      <c r="D21" s="77" t="n"/>
      <c r="E21" s="78" t="n"/>
    </row>
    <row r="22" ht="25" customHeight="1" s="18">
      <c r="A22" s="101" t="n"/>
      <c r="B22" s="89" t="n"/>
      <c r="C22" s="74" t="n"/>
      <c r="D22" s="74" t="n"/>
      <c r="E22" s="75" t="n"/>
    </row>
    <row r="23" ht="25" customHeight="1" s="18">
      <c r="A23" s="102" t="n"/>
      <c r="B23" s="66" t="n"/>
      <c r="C23" s="77" t="n"/>
      <c r="D23" s="77" t="n"/>
      <c r="E23" s="78" t="n"/>
    </row>
    <row r="24" ht="25" customHeight="1" s="18">
      <c r="A24" s="101" t="n"/>
      <c r="B24" s="89" t="n"/>
      <c r="C24" s="74" t="n"/>
      <c r="D24" s="74" t="n"/>
      <c r="E24" s="75" t="n"/>
    </row>
    <row r="25" ht="25" customHeight="1" s="18">
      <c r="A25" s="102" t="n"/>
      <c r="B25" s="66" t="n"/>
      <c r="C25" s="77" t="n"/>
      <c r="D25" s="77" t="n"/>
      <c r="E25" s="78" t="n"/>
    </row>
    <row r="26" ht="25" customHeight="1" s="18">
      <c r="A26" s="101" t="n"/>
      <c r="B26" s="89" t="n"/>
      <c r="C26" s="74" t="n"/>
      <c r="D26" s="74" t="n"/>
      <c r="E26" s="75" t="n"/>
    </row>
    <row r="27" ht="25" customHeight="1" s="18">
      <c r="A27" s="102" t="n"/>
      <c r="B27" s="66" t="n"/>
      <c r="C27" s="77" t="n"/>
      <c r="D27" s="77" t="n"/>
      <c r="E27" s="78" t="n"/>
    </row>
    <row r="28" ht="25" customHeight="1" s="18">
      <c r="A28" s="101" t="n"/>
      <c r="B28" s="89" t="n"/>
      <c r="C28" s="74" t="n"/>
      <c r="D28" s="74" t="n"/>
      <c r="E28" s="75" t="n"/>
    </row>
    <row r="29" ht="25" customHeight="1" s="18">
      <c r="A29" s="102" t="n"/>
      <c r="B29" s="66" t="n"/>
      <c r="C29" s="77" t="n"/>
      <c r="D29" s="77" t="n"/>
      <c r="E29" s="78" t="n"/>
    </row>
    <row r="30" ht="25" customHeight="1" s="18">
      <c r="A30" s="101" t="n"/>
      <c r="B30" s="89" t="n"/>
      <c r="C30" s="74" t="n"/>
      <c r="D30" s="74" t="n"/>
      <c r="E30" s="75" t="n"/>
    </row>
    <row r="31" ht="25" customHeight="1" s="18">
      <c r="A31" s="102" t="n"/>
      <c r="B31" s="66" t="n"/>
      <c r="C31" s="77" t="n"/>
      <c r="D31" s="77" t="n"/>
      <c r="E31" s="78" t="n"/>
    </row>
    <row r="32" ht="25" customHeight="1" s="18">
      <c r="A32" s="101" t="n"/>
      <c r="B32" s="89" t="n"/>
      <c r="C32" s="74" t="n"/>
      <c r="D32" s="74" t="n"/>
      <c r="E32" s="75" t="n"/>
    </row>
    <row r="33" ht="25" customHeight="1" s="18">
      <c r="A33" s="102" t="n"/>
      <c r="B33" s="66" t="n"/>
      <c r="C33" s="77" t="n"/>
      <c r="D33" s="77" t="n"/>
      <c r="E33" s="78" t="n"/>
    </row>
    <row r="34" ht="25" customHeight="1" s="18">
      <c r="A34" s="101" t="n"/>
      <c r="B34" s="89" t="n"/>
      <c r="C34" s="74" t="n"/>
      <c r="D34" s="74" t="n"/>
      <c r="E34" s="75" t="n"/>
    </row>
    <row r="35" ht="25" customHeight="1" s="18">
      <c r="A35" s="102" t="n"/>
      <c r="B35" s="66" t="n"/>
      <c r="C35" s="77" t="n"/>
      <c r="D35" s="77" t="n"/>
      <c r="E35" s="78" t="n"/>
    </row>
    <row r="36" ht="25" customHeight="1" s="18">
      <c r="A36" s="101" t="n"/>
      <c r="B36" s="89" t="n"/>
      <c r="C36" s="74" t="n"/>
      <c r="D36" s="74" t="n"/>
      <c r="E36" s="75" t="n"/>
    </row>
    <row r="37" ht="25" customHeight="1" s="18">
      <c r="A37" s="102" t="n"/>
      <c r="B37" s="66" t="n"/>
      <c r="C37" s="77" t="n"/>
      <c r="D37" s="77" t="n"/>
      <c r="E37" s="78" t="n"/>
    </row>
    <row r="38" ht="25" customHeight="1" s="18">
      <c r="A38" s="101" t="n"/>
      <c r="B38" s="89" t="n"/>
      <c r="C38" s="74" t="n"/>
      <c r="D38" s="74" t="n"/>
      <c r="E38" s="75" t="n"/>
    </row>
    <row r="39" ht="25" customHeight="1" s="18">
      <c r="A39" s="102" t="n"/>
      <c r="B39" s="66" t="n"/>
      <c r="C39" s="77" t="n"/>
      <c r="D39" s="77" t="n"/>
      <c r="E39" s="78" t="n"/>
    </row>
    <row r="40" ht="25" customHeight="1" s="18">
      <c r="A40" s="101" t="n"/>
      <c r="B40" s="89" t="n"/>
      <c r="C40" s="74" t="n"/>
      <c r="D40" s="74" t="n"/>
      <c r="E40" s="75" t="n"/>
    </row>
    <row r="41" ht="25" customHeight="1" s="18">
      <c r="A41" s="102" t="n"/>
      <c r="B41" s="66" t="n"/>
      <c r="C41" s="77" t="n"/>
      <c r="D41" s="77" t="n"/>
      <c r="E41" s="78" t="n"/>
    </row>
    <row r="42" ht="25" customHeight="1" s="18">
      <c r="A42" s="101" t="n"/>
      <c r="B42" s="89" t="n"/>
      <c r="C42" s="74" t="n"/>
      <c r="D42" s="74" t="n"/>
      <c r="E42" s="75" t="n"/>
    </row>
    <row r="43" ht="25" customHeight="1" s="18">
      <c r="A43" s="102" t="n"/>
      <c r="B43" s="66" t="n"/>
      <c r="C43" s="77" t="n"/>
      <c r="D43" s="77" t="n"/>
      <c r="E43" s="78" t="n"/>
    </row>
    <row r="44" ht="25" customHeight="1" s="18">
      <c r="A44" s="101" t="n"/>
      <c r="B44" s="89" t="n"/>
      <c r="C44" s="74" t="n"/>
      <c r="D44" s="74" t="n"/>
      <c r="E44" s="75" t="n"/>
    </row>
    <row r="45" ht="25" customHeight="1" s="18">
      <c r="A45" s="102" t="n"/>
      <c r="B45" s="66" t="n"/>
      <c r="C45" s="77" t="n"/>
      <c r="D45" s="77" t="n"/>
      <c r="E45" s="78" t="n"/>
    </row>
    <row r="46" ht="25" customHeight="1" s="18">
      <c r="A46" s="101" t="n"/>
      <c r="B46" s="89" t="n"/>
      <c r="C46" s="74" t="n"/>
      <c r="D46" s="74" t="n"/>
      <c r="E46" s="75" t="n"/>
    </row>
    <row r="47" ht="25" customHeight="1" s="18">
      <c r="A47" s="102" t="n"/>
      <c r="B47" s="66" t="n"/>
      <c r="C47" s="77" t="n"/>
      <c r="D47" s="77" t="n"/>
      <c r="E47" s="78" t="n"/>
    </row>
    <row r="48" ht="25" customHeight="1" s="18">
      <c r="A48" s="101" t="n"/>
      <c r="B48" s="89" t="n"/>
      <c r="C48" s="74" t="n"/>
      <c r="D48" s="74" t="n"/>
      <c r="E48" s="75" t="n"/>
    </row>
    <row r="49" ht="25" customHeight="1" s="18">
      <c r="A49" s="102" t="n"/>
      <c r="B49" s="66" t="n"/>
      <c r="C49" s="77" t="n"/>
      <c r="D49" s="77" t="n"/>
      <c r="E49" s="78" t="n"/>
    </row>
    <row r="50" ht="25" customHeight="1" s="18">
      <c r="A50" s="101" t="n"/>
      <c r="B50" s="89" t="n"/>
      <c r="C50" s="74" t="n"/>
      <c r="D50" s="74" t="n"/>
      <c r="E50" s="75" t="n"/>
    </row>
    <row r="51" ht="25" customHeight="1" s="18">
      <c r="A51" s="102" t="n"/>
      <c r="B51" s="66" t="n"/>
      <c r="C51" s="77" t="n"/>
      <c r="D51" s="77" t="n"/>
      <c r="E51" s="78" t="n"/>
    </row>
    <row r="52" ht="25" customHeight="1" s="18">
      <c r="A52" s="101" t="n"/>
      <c r="B52" s="89" t="n"/>
      <c r="C52" s="74" t="n"/>
      <c r="D52" s="74" t="n"/>
      <c r="E52" s="75" t="n"/>
    </row>
    <row r="53" ht="25" customHeight="1" s="18">
      <c r="A53" s="102" t="n"/>
      <c r="B53" s="66" t="n"/>
      <c r="C53" s="77" t="n"/>
      <c r="D53" s="77" t="n"/>
      <c r="E53" s="78" t="n"/>
    </row>
    <row r="54" ht="25" customHeight="1" s="18">
      <c r="A54" s="101" t="n"/>
      <c r="B54" s="89" t="n"/>
      <c r="C54" s="74" t="n"/>
      <c r="D54" s="74" t="n"/>
      <c r="E54" s="75" t="n"/>
    </row>
    <row r="55" ht="25" customHeight="1" s="18">
      <c r="A55" s="102" t="n"/>
      <c r="B55" s="66" t="n"/>
      <c r="C55" s="77" t="n"/>
      <c r="D55" s="77" t="n"/>
      <c r="E55" s="78" t="n"/>
    </row>
    <row r="56" ht="25" customHeight="1" s="18">
      <c r="A56" s="101" t="n"/>
      <c r="B56" s="89" t="n"/>
      <c r="C56" s="74" t="n"/>
      <c r="D56" s="74" t="n"/>
      <c r="E56" s="75" t="n"/>
    </row>
    <row r="57" ht="25" customHeight="1" s="18">
      <c r="A57" s="102" t="n"/>
      <c r="B57" s="66" t="n"/>
      <c r="C57" s="77" t="n"/>
      <c r="D57" s="77" t="n"/>
      <c r="E57" s="78" t="n"/>
    </row>
    <row r="58" ht="25" customHeight="1" s="18">
      <c r="A58" s="101" t="n"/>
      <c r="B58" s="89" t="n"/>
      <c r="C58" s="74" t="n"/>
      <c r="D58" s="74" t="n"/>
      <c r="E58" s="75" t="n"/>
    </row>
    <row r="59" ht="25" customHeight="1" s="18">
      <c r="A59" s="102" t="n"/>
      <c r="B59" s="66" t="n"/>
      <c r="C59" s="77" t="n"/>
      <c r="D59" s="77" t="n"/>
      <c r="E59" s="78" t="n"/>
    </row>
    <row r="60" ht="25" customHeight="1" s="18">
      <c r="A60" s="101" t="n"/>
      <c r="B60" s="89" t="n"/>
      <c r="C60" s="74" t="n"/>
      <c r="D60" s="74" t="n"/>
      <c r="E60" s="75" t="n"/>
    </row>
    <row r="61" ht="25" customHeight="1" s="18">
      <c r="A61" s="102" t="n"/>
      <c r="B61" s="66" t="n"/>
      <c r="C61" s="77" t="n"/>
      <c r="D61" s="77" t="n"/>
      <c r="E61" s="78" t="n"/>
    </row>
    <row r="62" ht="25" customHeight="1" s="18">
      <c r="A62" s="101" t="n"/>
      <c r="B62" s="89" t="n"/>
      <c r="C62" s="74" t="n"/>
      <c r="D62" s="74" t="n"/>
      <c r="E62" s="75" t="n"/>
    </row>
    <row r="63" ht="25" customHeight="1" s="18">
      <c r="A63" s="102" t="n"/>
      <c r="B63" s="66" t="n"/>
      <c r="C63" s="77" t="n"/>
      <c r="D63" s="77" t="n"/>
      <c r="E63" s="78" t="n"/>
    </row>
    <row r="64" ht="25" customHeight="1" s="18">
      <c r="A64" s="101" t="n"/>
      <c r="B64" s="89" t="n"/>
      <c r="C64" s="74" t="n"/>
      <c r="D64" s="74" t="n"/>
      <c r="E64" s="75" t="n"/>
    </row>
    <row r="65" ht="25" customHeight="1" s="18">
      <c r="A65" s="102" t="n"/>
      <c r="B65" s="66" t="n"/>
      <c r="C65" s="77" t="n"/>
      <c r="D65" s="77" t="n"/>
      <c r="E65" s="78" t="n"/>
    </row>
    <row r="66" ht="25" customHeight="1" s="18">
      <c r="A66" s="101" t="n"/>
      <c r="B66" s="89" t="n"/>
      <c r="C66" s="74" t="n"/>
      <c r="D66" s="74" t="n"/>
      <c r="E66" s="75" t="n"/>
    </row>
    <row r="67" ht="25" customHeight="1" s="18">
      <c r="A67" s="102" t="n"/>
      <c r="B67" s="66" t="n"/>
      <c r="C67" s="77" t="n"/>
      <c r="D67" s="77" t="n"/>
      <c r="E67" s="78" t="n"/>
    </row>
    <row r="68" ht="25" customHeight="1" s="18">
      <c r="A68" s="101" t="n"/>
      <c r="B68" s="89" t="n"/>
      <c r="C68" s="74" t="n"/>
      <c r="D68" s="74" t="n"/>
      <c r="E68" s="75" t="n"/>
    </row>
    <row r="69" ht="25" customHeight="1" s="18">
      <c r="A69" s="102" t="n"/>
      <c r="B69" s="66" t="n"/>
      <c r="C69" s="77" t="n"/>
      <c r="D69" s="77" t="n"/>
      <c r="E69" s="78" t="n"/>
    </row>
    <row r="70" ht="25" customHeight="1" s="18">
      <c r="A70" s="101" t="n"/>
      <c r="B70" s="89" t="n"/>
      <c r="C70" s="74" t="n"/>
      <c r="D70" s="74" t="n"/>
      <c r="E70" s="75" t="n"/>
    </row>
    <row r="71" ht="25" customHeight="1" s="18">
      <c r="A71" s="102" t="n"/>
      <c r="B71" s="66" t="n"/>
      <c r="C71" s="77" t="n"/>
      <c r="D71" s="77" t="n"/>
      <c r="E71" s="78" t="n"/>
    </row>
    <row r="72" ht="25" customHeight="1" s="18">
      <c r="A72" s="101" t="n"/>
      <c r="B72" s="89" t="n"/>
      <c r="C72" s="74" t="n"/>
      <c r="D72" s="74" t="n"/>
      <c r="E72" s="75" t="n"/>
    </row>
    <row r="73" ht="25" customHeight="1" s="18">
      <c r="A73" s="102" t="n"/>
      <c r="B73" s="66" t="n"/>
      <c r="C73" s="77" t="n"/>
      <c r="D73" s="77" t="n"/>
      <c r="E73" s="78" t="n"/>
    </row>
    <row r="74" ht="25" customHeight="1" s="18">
      <c r="A74" s="101" t="n"/>
      <c r="B74" s="89" t="n"/>
      <c r="C74" s="74" t="n"/>
      <c r="D74" s="74" t="n"/>
      <c r="E74" s="75" t="n"/>
    </row>
    <row r="75" ht="25" customHeight="1" s="18">
      <c r="A75" s="102" t="n"/>
      <c r="B75" s="66" t="n"/>
      <c r="C75" s="77" t="n"/>
      <c r="D75" s="77" t="n"/>
      <c r="E75" s="78" t="n"/>
    </row>
    <row r="76" ht="25" customHeight="1" s="18">
      <c r="A76" s="101" t="n"/>
      <c r="B76" s="89" t="n"/>
      <c r="C76" s="74" t="n"/>
      <c r="D76" s="74" t="n"/>
      <c r="E76" s="75" t="n"/>
    </row>
    <row r="77" ht="25" customHeight="1" s="18">
      <c r="A77" s="102" t="n"/>
      <c r="B77" s="66" t="n"/>
      <c r="C77" s="77" t="n"/>
      <c r="D77" s="77" t="n"/>
      <c r="E77" s="78" t="n"/>
    </row>
    <row r="78" ht="25" customHeight="1" s="18">
      <c r="A78" s="101" t="n"/>
      <c r="B78" s="89" t="n"/>
      <c r="C78" s="74" t="n"/>
      <c r="D78" s="74" t="n"/>
      <c r="E78" s="75" t="n"/>
    </row>
    <row r="79" ht="25" customHeight="1" s="18">
      <c r="A79" s="102" t="n"/>
      <c r="B79" s="66" t="n"/>
      <c r="C79" s="77" t="n"/>
      <c r="D79" s="77" t="n"/>
      <c r="E79" s="78" t="n"/>
    </row>
    <row r="80" ht="25" customHeight="1" s="18">
      <c r="A80" s="101" t="n"/>
      <c r="B80" s="89" t="n"/>
      <c r="C80" s="74" t="n"/>
      <c r="D80" s="74" t="n"/>
      <c r="E80" s="75" t="n"/>
    </row>
    <row r="81" ht="25" customHeight="1" s="18">
      <c r="A81" s="102" t="n"/>
      <c r="B81" s="66" t="n"/>
      <c r="C81" s="77" t="n"/>
      <c r="D81" s="77" t="n"/>
      <c r="E81" s="78" t="n"/>
    </row>
    <row r="82" ht="25" customHeight="1" s="18">
      <c r="A82" s="101" t="n"/>
      <c r="B82" s="89" t="n"/>
      <c r="C82" s="74" t="n"/>
      <c r="D82" s="74" t="n"/>
      <c r="E82" s="75" t="n"/>
    </row>
    <row r="83" ht="25" customHeight="1" s="18">
      <c r="A83" s="102" t="n"/>
      <c r="B83" s="66" t="n"/>
      <c r="C83" s="77" t="n"/>
      <c r="D83" s="77" t="n"/>
      <c r="E83" s="78" t="n"/>
    </row>
    <row r="84" ht="25" customHeight="1" s="18">
      <c r="A84" s="101" t="n"/>
      <c r="B84" s="89" t="n"/>
      <c r="C84" s="74" t="n"/>
      <c r="D84" s="74" t="n"/>
      <c r="E84" s="75" t="n"/>
    </row>
    <row r="85" ht="25" customHeight="1" s="18">
      <c r="A85" s="102" t="n"/>
      <c r="B85" s="66" t="n"/>
      <c r="C85" s="77" t="n"/>
      <c r="D85" s="77" t="n"/>
      <c r="E85" s="78" t="n"/>
    </row>
    <row r="86" ht="25" customHeight="1" s="18">
      <c r="A86" s="101" t="n"/>
      <c r="B86" s="89" t="n"/>
      <c r="C86" s="74" t="n"/>
      <c r="D86" s="74" t="n"/>
      <c r="E86" s="75" t="n"/>
    </row>
    <row r="87" ht="25" customHeight="1" s="18">
      <c r="A87" s="102" t="n"/>
      <c r="B87" s="66" t="n"/>
      <c r="C87" s="77" t="n"/>
      <c r="D87" s="77" t="n"/>
      <c r="E87" s="78" t="n"/>
    </row>
    <row r="88" ht="25" customHeight="1" s="18">
      <c r="A88" s="101" t="n"/>
      <c r="B88" s="89" t="n"/>
      <c r="C88" s="74" t="n"/>
      <c r="D88" s="74" t="n"/>
      <c r="E88" s="75" t="n"/>
    </row>
    <row r="89" ht="25" customHeight="1" s="18">
      <c r="A89" s="102" t="n"/>
      <c r="B89" s="66" t="n"/>
      <c r="C89" s="77" t="n"/>
      <c r="D89" s="77" t="n"/>
      <c r="E89" s="78" t="n"/>
    </row>
    <row r="90" ht="25" customHeight="1" s="18">
      <c r="A90" s="101" t="n"/>
      <c r="B90" s="89" t="n"/>
      <c r="C90" s="74" t="n"/>
      <c r="D90" s="74" t="n"/>
      <c r="E90" s="75" t="n"/>
    </row>
    <row r="91" ht="25" customHeight="1" s="18">
      <c r="A91" s="102" t="n"/>
      <c r="B91" s="66" t="n"/>
      <c r="C91" s="77" t="n"/>
      <c r="D91" s="77" t="n"/>
      <c r="E91" s="78" t="n"/>
    </row>
    <row r="92" ht="25" customHeight="1" s="18">
      <c r="A92" s="101" t="n"/>
      <c r="B92" s="89" t="n"/>
      <c r="C92" s="74" t="n"/>
      <c r="D92" s="74" t="n"/>
      <c r="E92" s="75" t="n"/>
    </row>
    <row r="93" ht="25" customHeight="1" s="18">
      <c r="A93" s="102" t="n"/>
      <c r="B93" s="66" t="n"/>
      <c r="C93" s="77" t="n"/>
      <c r="D93" s="77" t="n"/>
      <c r="E93" s="78" t="n"/>
    </row>
    <row r="94" ht="25" customHeight="1" s="18">
      <c r="A94" s="101" t="n"/>
      <c r="B94" s="89" t="n"/>
      <c r="C94" s="74" t="n"/>
      <c r="D94" s="74" t="n"/>
      <c r="E94" s="75" t="n"/>
    </row>
    <row r="95" ht="25" customHeight="1" s="18">
      <c r="A95" s="102" t="n"/>
      <c r="B95" s="66" t="n"/>
      <c r="C95" s="77" t="n"/>
      <c r="D95" s="77" t="n"/>
      <c r="E95" s="78" t="n"/>
    </row>
    <row r="96" ht="25" customHeight="1" s="18">
      <c r="A96" s="101" t="n"/>
      <c r="B96" s="89" t="n"/>
      <c r="C96" s="74" t="n"/>
      <c r="D96" s="74" t="n"/>
      <c r="E96" s="75" t="n"/>
    </row>
    <row r="97" ht="25" customHeight="1" s="18">
      <c r="A97" s="102" t="n"/>
      <c r="B97" s="66" t="n"/>
      <c r="C97" s="77" t="n"/>
      <c r="D97" s="77" t="n"/>
      <c r="E97" s="78" t="n"/>
    </row>
    <row r="98" ht="25" customHeight="1" s="18">
      <c r="A98" s="101" t="n"/>
      <c r="B98" s="89" t="n"/>
      <c r="C98" s="74" t="n"/>
      <c r="D98" s="74" t="n"/>
      <c r="E98" s="75" t="n"/>
    </row>
    <row r="99" ht="25" customHeight="1" s="18">
      <c r="A99" s="102" t="n"/>
      <c r="B99" s="66" t="n"/>
      <c r="C99" s="77" t="n"/>
      <c r="D99" s="77" t="n"/>
      <c r="E99" s="78" t="n"/>
    </row>
    <row r="100" ht="25" customHeight="1" s="18">
      <c r="A100" s="101" t="n"/>
      <c r="B100" s="89" t="n"/>
      <c r="C100" s="74" t="n"/>
      <c r="D100" s="74" t="n"/>
      <c r="E100" s="75" t="n"/>
    </row>
    <row r="101" ht="25" customHeight="1" s="18">
      <c r="A101" s="102" t="n"/>
      <c r="B101" s="66" t="n"/>
      <c r="C101" s="77" t="n"/>
      <c r="D101" s="77" t="n"/>
      <c r="E101" s="78" t="n"/>
    </row>
    <row r="102" ht="25" customHeight="1" s="18">
      <c r="A102" s="101" t="n"/>
      <c r="B102" s="89" t="n"/>
      <c r="C102" s="74" t="n"/>
      <c r="D102" s="74" t="n"/>
      <c r="E102" s="75" t="n"/>
    </row>
    <row r="103" ht="25" customHeight="1" s="18">
      <c r="A103" s="102" t="n"/>
      <c r="B103" s="66" t="n"/>
      <c r="C103" s="77" t="n"/>
      <c r="D103" s="77" t="n"/>
      <c r="E103" s="78" t="n"/>
    </row>
    <row r="104" ht="25" customHeight="1" s="18">
      <c r="A104" s="101" t="n"/>
      <c r="B104" s="89" t="n"/>
      <c r="C104" s="74" t="n"/>
      <c r="D104" s="74" t="n"/>
      <c r="E104" s="75" t="n"/>
    </row>
    <row r="105" ht="25" customHeight="1" s="18">
      <c r="A105" s="102" t="n"/>
      <c r="B105" s="66" t="n"/>
      <c r="C105" s="77" t="n"/>
      <c r="D105" s="77" t="n"/>
      <c r="E105" s="78" t="n"/>
    </row>
    <row r="106" ht="25" customHeight="1" s="18">
      <c r="A106" s="101" t="n"/>
      <c r="B106" s="89" t="n"/>
      <c r="C106" s="74" t="n"/>
      <c r="D106" s="74" t="n"/>
      <c r="E106" s="75" t="n"/>
    </row>
    <row r="107" ht="25" customHeight="1" s="18">
      <c r="A107" s="102" t="n"/>
      <c r="B107" s="66" t="n"/>
      <c r="C107" s="77" t="n"/>
      <c r="D107" s="77" t="n"/>
      <c r="E107" s="78" t="n"/>
    </row>
    <row r="108" ht="25" customHeight="1" s="18">
      <c r="A108" s="101" t="n"/>
      <c r="B108" s="89" t="n"/>
      <c r="C108" s="74" t="n"/>
      <c r="D108" s="74" t="n"/>
      <c r="E108" s="75" t="n"/>
    </row>
    <row r="109" ht="25" customHeight="1" s="18">
      <c r="A109" s="102" t="n"/>
      <c r="B109" s="66" t="n"/>
      <c r="C109" s="77" t="n"/>
      <c r="D109" s="77" t="n"/>
      <c r="E109" s="78" t="n"/>
    </row>
    <row r="110" ht="25" customHeight="1" s="18">
      <c r="A110" s="101" t="n"/>
      <c r="B110" s="89" t="n"/>
      <c r="C110" s="74" t="n"/>
      <c r="D110" s="74" t="n"/>
      <c r="E110" s="75" t="n"/>
    </row>
    <row r="111" ht="25" customHeight="1" s="18">
      <c r="A111" s="102" t="n"/>
      <c r="B111" s="66" t="n"/>
      <c r="C111" s="77" t="n"/>
      <c r="D111" s="77" t="n"/>
      <c r="E111" s="78" t="n"/>
    </row>
    <row r="112" ht="25" customHeight="1" s="18">
      <c r="A112" s="101" t="n"/>
      <c r="B112" s="89" t="n"/>
      <c r="C112" s="74" t="n"/>
      <c r="D112" s="74" t="n"/>
      <c r="E112" s="75" t="n"/>
    </row>
    <row r="113" ht="25" customHeight="1" s="18">
      <c r="A113" s="102" t="n"/>
      <c r="B113" s="66" t="n"/>
      <c r="C113" s="77" t="n"/>
      <c r="D113" s="77" t="n"/>
      <c r="E113" s="78" t="n"/>
    </row>
    <row r="114" ht="25" customHeight="1" s="18">
      <c r="A114" s="101" t="n"/>
      <c r="B114" s="89" t="n"/>
      <c r="C114" s="74" t="n"/>
      <c r="D114" s="74" t="n"/>
      <c r="E114" s="75" t="n"/>
    </row>
    <row r="115" ht="25" customHeight="1" s="18">
      <c r="A115" s="102" t="n"/>
      <c r="B115" s="66" t="n"/>
      <c r="C115" s="77" t="n"/>
      <c r="D115" s="77" t="n"/>
      <c r="E115" s="78" t="n"/>
    </row>
    <row r="116" ht="25" customHeight="1" s="18">
      <c r="A116" s="101" t="n"/>
      <c r="B116" s="89" t="n"/>
      <c r="C116" s="74" t="n"/>
      <c r="D116" s="74" t="n"/>
      <c r="E116" s="75" t="n"/>
    </row>
    <row r="117" ht="25" customHeight="1" s="18">
      <c r="A117" s="102" t="n"/>
      <c r="B117" s="66" t="n"/>
      <c r="C117" s="77" t="n"/>
      <c r="D117" s="77" t="n"/>
      <c r="E117" s="78" t="n"/>
    </row>
    <row r="118" ht="25" customHeight="1" s="18">
      <c r="A118" s="101" t="n"/>
      <c r="B118" s="89" t="n"/>
      <c r="C118" s="74" t="n"/>
      <c r="D118" s="74" t="n"/>
      <c r="E118" s="75" t="n"/>
    </row>
    <row r="119" ht="25" customHeight="1" s="18">
      <c r="A119" s="102" t="n"/>
      <c r="B119" s="66" t="n"/>
      <c r="C119" s="77" t="n"/>
      <c r="D119" s="77" t="n"/>
      <c r="E119" s="78" t="n"/>
    </row>
    <row r="120" ht="25" customHeight="1" s="18">
      <c r="A120" s="101" t="n"/>
      <c r="B120" s="89" t="n"/>
      <c r="C120" s="74" t="n"/>
      <c r="D120" s="74" t="n"/>
      <c r="E120" s="75" t="n"/>
    </row>
    <row r="121" ht="25" customHeight="1" s="18">
      <c r="A121" s="102" t="n"/>
      <c r="B121" s="66" t="n"/>
      <c r="C121" s="77" t="n"/>
      <c r="D121" s="77" t="n"/>
      <c r="E121" s="78" t="n"/>
    </row>
    <row r="122" ht="25" customHeight="1" s="18">
      <c r="A122" s="101" t="n"/>
      <c r="B122" s="89" t="n"/>
      <c r="C122" s="74" t="n"/>
      <c r="D122" s="74" t="n"/>
      <c r="E122" s="75" t="n"/>
    </row>
    <row r="123" ht="25" customHeight="1" s="18">
      <c r="A123" s="102" t="n"/>
      <c r="B123" s="66" t="n"/>
      <c r="C123" s="77" t="n"/>
      <c r="D123" s="77" t="n"/>
      <c r="E123" s="78" t="n"/>
    </row>
    <row r="124" ht="25" customHeight="1" s="18">
      <c r="A124" s="101" t="n"/>
      <c r="B124" s="89" t="n"/>
      <c r="C124" s="74" t="n"/>
      <c r="D124" s="74" t="n"/>
      <c r="E124" s="75" t="n"/>
    </row>
    <row r="125" ht="25" customHeight="1" s="18">
      <c r="A125" s="102" t="n"/>
      <c r="B125" s="66" t="n"/>
      <c r="C125" s="77" t="n"/>
      <c r="D125" s="77" t="n"/>
      <c r="E125" s="78" t="n"/>
    </row>
    <row r="126" ht="25" customHeight="1" s="18">
      <c r="A126" s="101" t="n"/>
      <c r="B126" s="89" t="n"/>
      <c r="C126" s="74" t="n"/>
      <c r="D126" s="74" t="n"/>
      <c r="E126" s="75" t="n"/>
    </row>
    <row r="127" ht="25" customHeight="1" s="18">
      <c r="A127" s="102" t="n"/>
      <c r="B127" s="66" t="n"/>
      <c r="C127" s="77" t="n"/>
      <c r="D127" s="77" t="n"/>
      <c r="E127" s="78" t="n"/>
    </row>
    <row r="128" ht="25" customHeight="1" s="18">
      <c r="A128" s="101" t="n"/>
      <c r="B128" s="89" t="n"/>
      <c r="C128" s="74" t="n"/>
      <c r="D128" s="74" t="n"/>
      <c r="E128" s="75" t="n"/>
    </row>
    <row r="129" ht="25" customHeight="1" s="18">
      <c r="A129" s="102" t="n"/>
      <c r="B129" s="66" t="n"/>
      <c r="C129" s="77" t="n"/>
      <c r="D129" s="77" t="n"/>
      <c r="E129" s="78" t="n"/>
    </row>
    <row r="130" ht="25" customHeight="1" s="18">
      <c r="A130" s="101" t="n"/>
      <c r="B130" s="89" t="n"/>
      <c r="C130" s="74" t="n"/>
      <c r="D130" s="74" t="n"/>
      <c r="E130" s="75" t="n"/>
    </row>
    <row r="131" ht="25" customHeight="1" s="18">
      <c r="A131" s="102" t="n"/>
      <c r="B131" s="66" t="n"/>
      <c r="C131" s="77" t="n"/>
      <c r="D131" s="77" t="n"/>
      <c r="E131" s="78" t="n"/>
    </row>
    <row r="132" ht="25" customHeight="1" s="18">
      <c r="A132" s="101" t="n"/>
      <c r="B132" s="89" t="n"/>
      <c r="C132" s="74" t="n"/>
      <c r="D132" s="74" t="n"/>
      <c r="E132" s="75" t="n"/>
    </row>
    <row r="133" ht="25" customHeight="1" s="18">
      <c r="A133" s="102" t="n"/>
      <c r="B133" s="66" t="n"/>
      <c r="C133" s="77" t="n"/>
      <c r="D133" s="77" t="n"/>
      <c r="E133" s="78" t="n"/>
    </row>
    <row r="134" ht="25" customHeight="1" s="18">
      <c r="A134" s="101" t="n"/>
      <c r="B134" s="89" t="n"/>
      <c r="C134" s="74" t="n"/>
      <c r="D134" s="74" t="n"/>
      <c r="E134" s="75" t="n"/>
    </row>
    <row r="135" ht="25" customHeight="1" s="18">
      <c r="A135" s="102" t="n"/>
      <c r="B135" s="66" t="n"/>
      <c r="C135" s="77" t="n"/>
      <c r="D135" s="77" t="n"/>
      <c r="E135" s="78" t="n"/>
    </row>
    <row r="136" ht="25" customHeight="1" s="18">
      <c r="A136" s="101" t="n"/>
      <c r="B136" s="89" t="n"/>
      <c r="C136" s="74" t="n"/>
      <c r="D136" s="74" t="n"/>
      <c r="E136" s="75" t="n"/>
    </row>
    <row r="137" ht="25" customHeight="1" s="18">
      <c r="A137" s="102" t="n"/>
      <c r="B137" s="66" t="n"/>
      <c r="C137" s="77" t="n"/>
      <c r="D137" s="77" t="n"/>
      <c r="E137" s="78" t="n"/>
    </row>
    <row r="138" ht="25" customHeight="1" s="18">
      <c r="A138" s="101" t="n"/>
      <c r="B138" s="89" t="n"/>
      <c r="C138" s="74" t="n"/>
      <c r="D138" s="74" t="n"/>
      <c r="E138" s="75" t="n"/>
    </row>
    <row r="139" ht="25" customHeight="1" s="18">
      <c r="A139" s="102" t="n"/>
      <c r="B139" s="66" t="n"/>
      <c r="C139" s="77" t="n"/>
      <c r="D139" s="77" t="n"/>
      <c r="E139" s="78" t="n"/>
    </row>
    <row r="140" ht="25" customHeight="1" s="18">
      <c r="A140" s="101" t="n"/>
      <c r="B140" s="89" t="n"/>
      <c r="C140" s="74" t="n"/>
      <c r="D140" s="74" t="n"/>
      <c r="E140" s="75" t="n"/>
    </row>
    <row r="141" ht="25" customHeight="1" s="18">
      <c r="A141" s="102" t="n"/>
      <c r="B141" s="66" t="n"/>
      <c r="C141" s="77" t="n"/>
      <c r="D141" s="77" t="n"/>
      <c r="E141" s="78" t="n"/>
    </row>
    <row r="142" ht="25" customHeight="1" s="18">
      <c r="A142" s="101" t="n"/>
      <c r="B142" s="89" t="n"/>
      <c r="C142" s="74" t="n"/>
      <c r="D142" s="74" t="n"/>
      <c r="E142" s="75" t="n"/>
    </row>
    <row r="143" ht="25" customHeight="1" s="18">
      <c r="A143" s="102" t="n"/>
      <c r="B143" s="66" t="n"/>
      <c r="C143" s="77" t="n"/>
      <c r="D143" s="77" t="n"/>
      <c r="E143" s="78" t="n"/>
    </row>
    <row r="144" ht="25" customHeight="1" s="18">
      <c r="A144" s="101" t="n"/>
      <c r="B144" s="89" t="n"/>
      <c r="C144" s="74" t="n"/>
      <c r="D144" s="74" t="n"/>
      <c r="E144" s="75" t="n"/>
    </row>
    <row r="145" ht="25" customHeight="1" s="18">
      <c r="A145" s="102" t="n"/>
      <c r="B145" s="66" t="n"/>
      <c r="C145" s="77" t="n"/>
      <c r="D145" s="77" t="n"/>
      <c r="E145" s="78" t="n"/>
    </row>
    <row r="146" ht="25" customHeight="1" s="18">
      <c r="A146" s="101" t="n"/>
      <c r="B146" s="89" t="n"/>
      <c r="C146" s="74" t="n"/>
      <c r="D146" s="74" t="n"/>
      <c r="E146" s="75" t="n"/>
    </row>
    <row r="147" ht="25" customHeight="1" s="18">
      <c r="A147" s="102" t="n"/>
      <c r="B147" s="66" t="n"/>
      <c r="C147" s="77" t="n"/>
      <c r="D147" s="77" t="n"/>
      <c r="E147" s="78" t="n"/>
    </row>
    <row r="148" ht="25" customHeight="1" s="18">
      <c r="A148" s="101" t="n"/>
      <c r="B148" s="89" t="n"/>
      <c r="C148" s="74" t="n"/>
      <c r="D148" s="74" t="n"/>
      <c r="E148" s="75" t="n"/>
    </row>
    <row r="149" ht="25" customHeight="1" s="18">
      <c r="A149" s="102" t="n"/>
      <c r="B149" s="66" t="n"/>
      <c r="C149" s="77" t="n"/>
      <c r="D149" s="77" t="n"/>
      <c r="E149" s="78" t="n"/>
    </row>
    <row r="150" ht="25" customHeight="1" s="18">
      <c r="A150" s="101" t="n"/>
      <c r="B150" s="89" t="n"/>
      <c r="C150" s="74" t="n"/>
      <c r="D150" s="74" t="n"/>
      <c r="E150" s="75" t="n"/>
    </row>
    <row r="151" ht="25" customHeight="1" s="18">
      <c r="A151" s="102" t="n"/>
      <c r="B151" s="66" t="n"/>
      <c r="C151" s="77" t="n"/>
      <c r="D151" s="77" t="n"/>
      <c r="E151" s="78" t="n"/>
    </row>
    <row r="152" ht="25" customHeight="1" s="18">
      <c r="A152" s="101" t="n"/>
      <c r="B152" s="89" t="n"/>
      <c r="C152" s="74" t="n"/>
      <c r="D152" s="74" t="n"/>
      <c r="E152" s="75" t="n"/>
    </row>
    <row r="153" ht="25" customHeight="1" s="18">
      <c r="A153" s="102" t="n"/>
      <c r="B153" s="66" t="n"/>
      <c r="C153" s="77" t="n"/>
      <c r="D153" s="77" t="n"/>
      <c r="E153" s="78" t="n"/>
    </row>
    <row r="154" ht="25" customHeight="1" s="18">
      <c r="A154" s="101" t="n"/>
      <c r="B154" s="89" t="n"/>
      <c r="C154" s="74" t="n"/>
      <c r="D154" s="74" t="n"/>
      <c r="E154" s="75" t="n"/>
    </row>
    <row r="155" ht="25" customHeight="1" s="18">
      <c r="A155" s="102" t="n"/>
      <c r="B155" s="66" t="n"/>
      <c r="C155" s="77" t="n"/>
      <c r="D155" s="77" t="n"/>
      <c r="E155" s="78" t="n"/>
    </row>
    <row r="156" ht="25" customHeight="1" s="18">
      <c r="A156" s="101" t="n"/>
      <c r="B156" s="89" t="n"/>
      <c r="C156" s="74" t="n"/>
      <c r="D156" s="74" t="n"/>
      <c r="E156" s="75" t="n"/>
    </row>
    <row r="157" ht="25" customHeight="1" s="18">
      <c r="A157" s="102" t="n"/>
      <c r="B157" s="66" t="n"/>
      <c r="C157" s="77" t="n"/>
      <c r="D157" s="77" t="n"/>
      <c r="E157" s="78" t="n"/>
    </row>
    <row r="158" ht="25" customHeight="1" s="18">
      <c r="A158" s="101" t="n"/>
      <c r="B158" s="89" t="n"/>
      <c r="C158" s="74" t="n"/>
      <c r="D158" s="74" t="n"/>
      <c r="E158" s="75" t="n"/>
    </row>
    <row r="159" ht="25" customHeight="1" s="18">
      <c r="A159" s="102" t="n"/>
      <c r="B159" s="66" t="n"/>
      <c r="C159" s="77" t="n"/>
      <c r="D159" s="77" t="n"/>
      <c r="E159" s="78" t="n"/>
    </row>
    <row r="160" ht="25" customHeight="1" s="18">
      <c r="A160" s="101" t="n"/>
      <c r="B160" s="89" t="n"/>
      <c r="C160" s="74" t="n"/>
      <c r="D160" s="74" t="n"/>
      <c r="E160" s="75" t="n"/>
    </row>
    <row r="161" ht="25" customHeight="1" s="18">
      <c r="A161" s="102" t="n"/>
      <c r="B161" s="66" t="n"/>
      <c r="C161" s="77" t="n"/>
      <c r="D161" s="77" t="n"/>
      <c r="E161" s="78" t="n"/>
    </row>
    <row r="162" ht="25" customHeight="1" s="18">
      <c r="A162" s="101" t="n"/>
      <c r="B162" s="89" t="n"/>
      <c r="C162" s="74" t="n"/>
      <c r="D162" s="74" t="n"/>
      <c r="E162" s="75" t="n"/>
    </row>
    <row r="163" ht="25" customHeight="1" s="18">
      <c r="A163" s="102" t="n"/>
      <c r="B163" s="66" t="n"/>
      <c r="C163" s="77" t="n"/>
      <c r="D163" s="77" t="n"/>
      <c r="E163" s="78" t="n"/>
    </row>
    <row r="164" ht="25" customHeight="1" s="18">
      <c r="A164" s="101" t="n"/>
      <c r="B164" s="89" t="n"/>
      <c r="C164" s="74" t="n"/>
      <c r="D164" s="74" t="n"/>
      <c r="E164" s="75" t="n"/>
    </row>
    <row r="165" ht="25" customHeight="1" s="18">
      <c r="A165" s="102" t="n"/>
      <c r="B165" s="66" t="n"/>
      <c r="C165" s="77" t="n"/>
      <c r="D165" s="77" t="n"/>
      <c r="E165" s="78" t="n"/>
    </row>
    <row r="166" ht="25" customHeight="1" s="18">
      <c r="A166" s="101" t="n"/>
      <c r="B166" s="89" t="n"/>
      <c r="C166" s="74" t="n"/>
      <c r="D166" s="74" t="n"/>
      <c r="E166" s="75" t="n"/>
    </row>
    <row r="167" ht="25" customHeight="1" s="18">
      <c r="A167" s="102" t="n"/>
      <c r="B167" s="66" t="n"/>
      <c r="C167" s="77" t="n"/>
      <c r="D167" s="77" t="n"/>
      <c r="E167" s="78" t="n"/>
    </row>
    <row r="168" ht="25" customHeight="1" s="18">
      <c r="A168" s="101" t="n"/>
      <c r="B168" s="89" t="n"/>
      <c r="C168" s="74" t="n"/>
      <c r="D168" s="74" t="n"/>
      <c r="E168" s="75" t="n"/>
    </row>
    <row r="169" ht="25" customHeight="1" s="18">
      <c r="A169" s="102" t="n"/>
      <c r="B169" s="66" t="n"/>
      <c r="C169" s="77" t="n"/>
      <c r="D169" s="77" t="n"/>
      <c r="E169" s="78" t="n"/>
    </row>
    <row r="170" ht="25" customHeight="1" s="18">
      <c r="A170" s="101" t="n"/>
      <c r="B170" s="89" t="n"/>
      <c r="C170" s="74" t="n"/>
      <c r="D170" s="74" t="n"/>
      <c r="E170" s="75" t="n"/>
    </row>
    <row r="171" ht="25" customHeight="1" s="18">
      <c r="A171" s="102" t="n"/>
      <c r="B171" s="66" t="n"/>
      <c r="C171" s="77" t="n"/>
      <c r="D171" s="77" t="n"/>
      <c r="E171" s="78" t="n"/>
    </row>
    <row r="172" ht="25" customHeight="1" s="18">
      <c r="A172" s="101" t="n"/>
      <c r="B172" s="89" t="n"/>
      <c r="C172" s="74" t="n"/>
      <c r="D172" s="74" t="n"/>
      <c r="E172" s="75" t="n"/>
    </row>
    <row r="173" ht="25" customHeight="1" s="18">
      <c r="A173" s="102" t="n"/>
      <c r="B173" s="66" t="n"/>
      <c r="C173" s="77" t="n"/>
      <c r="D173" s="77" t="n"/>
      <c r="E173" s="78" t="n"/>
    </row>
    <row r="174" ht="25" customHeight="1" s="18">
      <c r="A174" s="101" t="n"/>
      <c r="B174" s="89" t="n"/>
      <c r="C174" s="74" t="n"/>
      <c r="D174" s="74" t="n"/>
      <c r="E174" s="75" t="n"/>
    </row>
    <row r="175" ht="25" customHeight="1" s="18">
      <c r="A175" s="102" t="n"/>
      <c r="B175" s="66" t="n"/>
      <c r="C175" s="77" t="n"/>
      <c r="D175" s="77" t="n"/>
      <c r="E175" s="78" t="n"/>
    </row>
    <row r="176" ht="25" customHeight="1" s="18">
      <c r="A176" s="101" t="n"/>
      <c r="B176" s="89" t="n"/>
      <c r="C176" s="74" t="n"/>
      <c r="D176" s="74" t="n"/>
      <c r="E176" s="75" t="n"/>
    </row>
    <row r="177" ht="25" customHeight="1" s="18">
      <c r="A177" s="102" t="n"/>
      <c r="B177" s="66" t="n"/>
      <c r="C177" s="77" t="n"/>
      <c r="D177" s="77" t="n"/>
      <c r="E177" s="78" t="n"/>
    </row>
    <row r="178" ht="25" customHeight="1" s="18">
      <c r="A178" s="101" t="n"/>
      <c r="B178" s="89" t="n"/>
      <c r="C178" s="74" t="n"/>
      <c r="D178" s="74" t="n"/>
      <c r="E178" s="75" t="n"/>
    </row>
    <row r="179" ht="25" customHeight="1" s="18">
      <c r="A179" s="102" t="n"/>
      <c r="B179" s="66" t="n"/>
      <c r="C179" s="77" t="n"/>
      <c r="D179" s="77" t="n"/>
      <c r="E179" s="78" t="n"/>
    </row>
    <row r="180" ht="25" customHeight="1" s="18">
      <c r="A180" s="101" t="n"/>
      <c r="B180" s="89" t="n"/>
      <c r="C180" s="74" t="n"/>
      <c r="D180" s="74" t="n"/>
      <c r="E180" s="75" t="n"/>
    </row>
    <row r="181" ht="25" customHeight="1" s="18">
      <c r="A181" s="102" t="n"/>
      <c r="B181" s="66" t="n"/>
      <c r="C181" s="77" t="n"/>
      <c r="D181" s="77" t="n"/>
      <c r="E181" s="78" t="n"/>
    </row>
    <row r="182" ht="25" customHeight="1" s="18">
      <c r="A182" s="101" t="n"/>
      <c r="B182" s="89" t="n"/>
      <c r="C182" s="74" t="n"/>
      <c r="D182" s="74" t="n"/>
      <c r="E182" s="75" t="n"/>
    </row>
    <row r="183" ht="25" customHeight="1" s="18">
      <c r="A183" s="102" t="n"/>
      <c r="B183" s="66" t="n"/>
      <c r="C183" s="77" t="n"/>
      <c r="D183" s="77" t="n"/>
      <c r="E183" s="78" t="n"/>
    </row>
    <row r="184" ht="25" customHeight="1" s="18">
      <c r="A184" s="101" t="n"/>
      <c r="B184" s="89" t="n"/>
      <c r="C184" s="74" t="n"/>
      <c r="D184" s="74" t="n"/>
      <c r="E184" s="75" t="n"/>
    </row>
    <row r="185" ht="25" customHeight="1" s="18">
      <c r="A185" s="102" t="n"/>
      <c r="B185" s="66" t="n"/>
      <c r="C185" s="77" t="n"/>
      <c r="D185" s="77" t="n"/>
      <c r="E185" s="78" t="n"/>
    </row>
    <row r="186" ht="25" customHeight="1" s="18">
      <c r="A186" s="101" t="n"/>
      <c r="B186" s="89" t="n"/>
      <c r="C186" s="74" t="n"/>
      <c r="D186" s="74" t="n"/>
      <c r="E186" s="75" t="n"/>
    </row>
    <row r="187" ht="25" customHeight="1" s="18">
      <c r="A187" s="102" t="n"/>
      <c r="B187" s="66" t="n"/>
      <c r="C187" s="77" t="n"/>
      <c r="D187" s="77" t="n"/>
      <c r="E187" s="78" t="n"/>
    </row>
    <row r="188" ht="25" customHeight="1" s="18">
      <c r="A188" s="101" t="n"/>
      <c r="B188" s="89" t="n"/>
      <c r="C188" s="74" t="n"/>
      <c r="D188" s="74" t="n"/>
      <c r="E188" s="75" t="n"/>
    </row>
    <row r="189" ht="25" customHeight="1" s="18">
      <c r="A189" s="102" t="n"/>
      <c r="B189" s="66" t="n"/>
      <c r="C189" s="77" t="n"/>
      <c r="D189" s="77" t="n"/>
      <c r="E189" s="78" t="n"/>
    </row>
    <row r="190" ht="25" customHeight="1" s="18">
      <c r="A190" s="101" t="n"/>
      <c r="B190" s="89" t="n"/>
      <c r="C190" s="74" t="n"/>
      <c r="D190" s="74" t="n"/>
      <c r="E190" s="75" t="n"/>
    </row>
    <row r="191" ht="25" customHeight="1" s="18">
      <c r="A191" s="102" t="n"/>
      <c r="B191" s="66" t="n"/>
      <c r="C191" s="77" t="n"/>
      <c r="D191" s="77" t="n"/>
      <c r="E191" s="78" t="n"/>
    </row>
    <row r="192" ht="25" customHeight="1" s="18">
      <c r="A192" s="101" t="n"/>
      <c r="B192" s="89" t="n"/>
      <c r="C192" s="74" t="n"/>
      <c r="D192" s="74" t="n"/>
      <c r="E192" s="75" t="n"/>
    </row>
    <row r="193" ht="25" customHeight="1" s="18">
      <c r="A193" s="102" t="n"/>
      <c r="B193" s="66" t="n"/>
      <c r="C193" s="77" t="n"/>
      <c r="D193" s="77" t="n"/>
      <c r="E193" s="78" t="n"/>
    </row>
    <row r="194" ht="25" customHeight="1" s="18">
      <c r="A194" s="101" t="n"/>
      <c r="B194" s="89" t="n"/>
      <c r="C194" s="74" t="n"/>
      <c r="D194" s="74" t="n"/>
      <c r="E194" s="75" t="n"/>
    </row>
    <row r="195" ht="25" customHeight="1" s="18">
      <c r="A195" s="102" t="n"/>
      <c r="B195" s="66" t="n"/>
      <c r="C195" s="77" t="n"/>
      <c r="D195" s="77" t="n"/>
      <c r="E195" s="78" t="n"/>
    </row>
    <row r="196" ht="25" customHeight="1" s="18">
      <c r="A196" s="101" t="n"/>
      <c r="B196" s="89" t="n"/>
      <c r="C196" s="74" t="n"/>
      <c r="D196" s="74" t="n"/>
      <c r="E196" s="75" t="n"/>
    </row>
    <row r="197" ht="25" customHeight="1" s="18">
      <c r="A197" s="102" t="n"/>
      <c r="B197" s="66" t="n"/>
      <c r="C197" s="77" t="n"/>
      <c r="D197" s="77" t="n"/>
      <c r="E197" s="78" t="n"/>
    </row>
    <row r="198" ht="25" customHeight="1" s="18">
      <c r="A198" s="101" t="n"/>
      <c r="B198" s="89" t="n"/>
      <c r="C198" s="74" t="n"/>
      <c r="D198" s="74" t="n"/>
      <c r="E198" s="75" t="n"/>
    </row>
    <row r="199" ht="25" customHeight="1" s="18">
      <c r="A199" s="102" t="n"/>
      <c r="B199" s="66" t="n"/>
      <c r="C199" s="77" t="n"/>
      <c r="D199" s="77" t="n"/>
      <c r="E199" s="78" t="n"/>
    </row>
    <row r="200" ht="25" customHeight="1" s="18">
      <c r="A200" s="101" t="n"/>
      <c r="B200" s="89" t="n"/>
      <c r="C200" s="74" t="n"/>
      <c r="D200" s="74" t="n"/>
      <c r="E200" s="75" t="n"/>
    </row>
    <row r="201" ht="25" customHeight="1" s="18">
      <c r="A201" s="102" t="n"/>
      <c r="B201" s="66" t="n"/>
      <c r="C201" s="77" t="n"/>
      <c r="D201" s="77" t="n"/>
      <c r="E201" s="78" t="n"/>
    </row>
    <row r="202" ht="25" customHeight="1" s="18">
      <c r="A202" s="101" t="n"/>
      <c r="B202" s="89" t="n"/>
      <c r="C202" s="74" t="n"/>
      <c r="D202" s="74" t="n"/>
      <c r="E202" s="75" t="n"/>
    </row>
    <row r="203" ht="25" customHeight="1" s="18">
      <c r="A203" s="102" t="n"/>
      <c r="B203" s="66" t="n"/>
      <c r="C203" s="77" t="n"/>
      <c r="D203" s="77" t="n"/>
      <c r="E203" s="78" t="n"/>
    </row>
    <row r="204" ht="25" customHeight="1" s="18">
      <c r="A204" s="101" t="n"/>
      <c r="B204" s="89" t="n"/>
      <c r="C204" s="74" t="n"/>
      <c r="D204" s="74" t="n"/>
      <c r="E204" s="75" t="n"/>
    </row>
    <row r="205" ht="25" customHeight="1" s="18">
      <c r="A205" s="102" t="n"/>
      <c r="B205" s="66" t="n"/>
      <c r="C205" s="77" t="n"/>
      <c r="D205" s="77" t="n"/>
      <c r="E205" s="78" t="n"/>
    </row>
    <row r="206" ht="25" customHeight="1" s="18">
      <c r="A206" s="101" t="n"/>
      <c r="B206" s="89" t="n"/>
      <c r="C206" s="74" t="n"/>
      <c r="D206" s="74" t="n"/>
      <c r="E206" s="75" t="n"/>
    </row>
    <row r="207" ht="25" customHeight="1" s="18">
      <c r="A207" s="102" t="n"/>
      <c r="B207" s="66" t="n"/>
      <c r="C207" s="77" t="n"/>
      <c r="D207" s="77" t="n"/>
      <c r="E207" s="78" t="n"/>
    </row>
    <row r="208" ht="25" customHeight="1" s="18">
      <c r="A208" s="101" t="n"/>
      <c r="B208" s="89" t="n"/>
      <c r="C208" s="74" t="n"/>
      <c r="D208" s="74" t="n"/>
      <c r="E208" s="75" t="n"/>
    </row>
    <row r="209" ht="25" customHeight="1" s="18">
      <c r="A209" s="102" t="n"/>
      <c r="B209" s="66" t="n"/>
      <c r="C209" s="77" t="n"/>
      <c r="D209" s="77" t="n"/>
      <c r="E209" s="78" t="n"/>
    </row>
    <row r="210" ht="25" customHeight="1" s="18">
      <c r="A210" s="101" t="n"/>
      <c r="B210" s="89" t="n"/>
      <c r="C210" s="74" t="n"/>
      <c r="D210" s="74" t="n"/>
      <c r="E210" s="75" t="n"/>
    </row>
    <row r="211" ht="25" customHeight="1" s="18">
      <c r="A211" s="102" t="n"/>
      <c r="B211" s="66" t="n"/>
      <c r="C211" s="77" t="n"/>
      <c r="D211" s="77" t="n"/>
      <c r="E211" s="78" t="n"/>
    </row>
    <row r="212" ht="25" customHeight="1" s="18">
      <c r="A212" s="101" t="n"/>
      <c r="B212" s="89" t="n"/>
      <c r="C212" s="74" t="n"/>
      <c r="D212" s="74" t="n"/>
      <c r="E212" s="75" t="n"/>
    </row>
    <row r="213" ht="25" customHeight="1" s="18">
      <c r="A213" s="102" t="n"/>
      <c r="B213" s="66" t="n"/>
      <c r="C213" s="77" t="n"/>
      <c r="D213" s="77" t="n"/>
      <c r="E213" s="78" t="n"/>
    </row>
    <row r="214" ht="25" customHeight="1" s="18">
      <c r="A214" s="101" t="n"/>
      <c r="B214" s="89" t="n"/>
      <c r="C214" s="74" t="n"/>
      <c r="D214" s="74" t="n"/>
      <c r="E214" s="75" t="n"/>
    </row>
    <row r="215" ht="25" customHeight="1" s="18">
      <c r="A215" s="102" t="n"/>
      <c r="B215" s="66" t="n"/>
      <c r="C215" s="77" t="n"/>
      <c r="D215" s="77" t="n"/>
      <c r="E215" s="78" t="n"/>
    </row>
    <row r="216" ht="25" customHeight="1" s="18">
      <c r="A216" s="101" t="n"/>
      <c r="B216" s="89" t="n"/>
      <c r="C216" s="74" t="n"/>
      <c r="D216" s="74" t="n"/>
      <c r="E216" s="75" t="n"/>
    </row>
    <row r="217" ht="25" customHeight="1" s="18">
      <c r="A217" s="102" t="n"/>
      <c r="B217" s="66" t="n"/>
      <c r="C217" s="77" t="n"/>
      <c r="D217" s="77" t="n"/>
      <c r="E217" s="78" t="n"/>
    </row>
    <row r="218" ht="25" customHeight="1" s="18">
      <c r="A218" s="101" t="n"/>
      <c r="B218" s="89" t="n"/>
      <c r="C218" s="74" t="n"/>
      <c r="D218" s="74" t="n"/>
      <c r="E218" s="75" t="n"/>
    </row>
    <row r="219" ht="25" customHeight="1" s="18">
      <c r="A219" s="102" t="n"/>
      <c r="B219" s="66" t="n"/>
      <c r="C219" s="77" t="n"/>
      <c r="D219" s="77" t="n"/>
      <c r="E219" s="78" t="n"/>
    </row>
    <row r="220" ht="25" customHeight="1" s="18">
      <c r="A220" s="101" t="n"/>
      <c r="B220" s="89" t="n"/>
      <c r="C220" s="74" t="n"/>
      <c r="D220" s="74" t="n"/>
      <c r="E220" s="75" t="n"/>
    </row>
    <row r="221" ht="25" customHeight="1" s="18">
      <c r="A221" s="102" t="n"/>
      <c r="B221" s="66" t="n"/>
      <c r="C221" s="77" t="n"/>
      <c r="D221" s="77" t="n"/>
      <c r="E221" s="78" t="n"/>
    </row>
    <row r="222" ht="25" customHeight="1" s="18">
      <c r="A222" s="101" t="n"/>
      <c r="B222" s="89" t="n"/>
      <c r="C222" s="74" t="n"/>
      <c r="D222" s="74" t="n"/>
      <c r="E222" s="75" t="n"/>
    </row>
    <row r="223" ht="25" customHeight="1" s="18">
      <c r="A223" s="102" t="n"/>
      <c r="B223" s="66" t="n"/>
      <c r="C223" s="77" t="n"/>
      <c r="D223" s="77" t="n"/>
      <c r="E223" s="78" t="n"/>
    </row>
    <row r="224" ht="25" customHeight="1" s="18">
      <c r="A224" s="101" t="n"/>
      <c r="B224" s="89" t="n"/>
      <c r="C224" s="74" t="n"/>
      <c r="D224" s="74" t="n"/>
      <c r="E224" s="75" t="n"/>
    </row>
    <row r="225" ht="25" customHeight="1" s="18">
      <c r="A225" s="102" t="n"/>
      <c r="B225" s="66" t="n"/>
      <c r="C225" s="77" t="n"/>
      <c r="D225" s="77" t="n"/>
      <c r="E225" s="78" t="n"/>
    </row>
    <row r="226" ht="25" customHeight="1" s="18">
      <c r="A226" s="101" t="n"/>
      <c r="B226" s="89" t="n"/>
      <c r="C226" s="74" t="n"/>
      <c r="D226" s="74" t="n"/>
      <c r="E226" s="75" t="n"/>
    </row>
    <row r="227" ht="25" customHeight="1" s="18">
      <c r="A227" s="102" t="n"/>
      <c r="B227" s="66" t="n"/>
      <c r="C227" s="77" t="n"/>
      <c r="D227" s="77" t="n"/>
      <c r="E227" s="78" t="n"/>
    </row>
    <row r="228" ht="25" customHeight="1" s="18">
      <c r="A228" s="101" t="n"/>
      <c r="B228" s="89" t="n"/>
      <c r="C228" s="74" t="n"/>
      <c r="D228" s="74" t="n"/>
      <c r="E228" s="75" t="n"/>
    </row>
    <row r="229" ht="25" customHeight="1" s="18">
      <c r="A229" s="102" t="n"/>
      <c r="B229" s="66" t="n"/>
      <c r="C229" s="77" t="n"/>
      <c r="D229" s="77" t="n"/>
      <c r="E229" s="78" t="n"/>
    </row>
    <row r="230" ht="25" customHeight="1" s="18">
      <c r="A230" s="101" t="n"/>
      <c r="B230" s="89" t="n"/>
      <c r="C230" s="74" t="n"/>
      <c r="D230" s="74" t="n"/>
      <c r="E230" s="75" t="n"/>
    </row>
    <row r="231" ht="25" customHeight="1" s="18">
      <c r="A231" s="102" t="n"/>
      <c r="B231" s="66" t="n"/>
      <c r="C231" s="77" t="n"/>
      <c r="D231" s="77" t="n"/>
      <c r="E231" s="78" t="n"/>
    </row>
    <row r="232" ht="25" customHeight="1" s="18">
      <c r="A232" s="101" t="n"/>
      <c r="B232" s="89" t="n"/>
      <c r="C232" s="74" t="n"/>
      <c r="D232" s="74" t="n"/>
      <c r="E232" s="75" t="n"/>
    </row>
    <row r="233" ht="25" customHeight="1" s="18">
      <c r="A233" s="102" t="n"/>
      <c r="B233" s="66" t="n"/>
      <c r="C233" s="77" t="n"/>
      <c r="D233" s="77" t="n"/>
      <c r="E233" s="78" t="n"/>
    </row>
    <row r="234" ht="25" customHeight="1" s="18">
      <c r="A234" s="101" t="n"/>
      <c r="B234" s="89" t="n"/>
      <c r="C234" s="74" t="n"/>
      <c r="D234" s="74" t="n"/>
      <c r="E234" s="75" t="n"/>
    </row>
    <row r="235" ht="25" customHeight="1" s="18">
      <c r="A235" s="102" t="n"/>
      <c r="B235" s="66" t="n"/>
      <c r="C235" s="77" t="n"/>
      <c r="D235" s="77" t="n"/>
      <c r="E235" s="78" t="n"/>
    </row>
    <row r="236" ht="25" customHeight="1" s="18">
      <c r="A236" s="101" t="n"/>
      <c r="B236" s="89" t="n"/>
      <c r="C236" s="74" t="n"/>
      <c r="D236" s="74" t="n"/>
      <c r="E236" s="75" t="n"/>
    </row>
    <row r="237" ht="25" customHeight="1" s="18">
      <c r="A237" s="102" t="n"/>
      <c r="B237" s="66" t="n"/>
      <c r="C237" s="77" t="n"/>
      <c r="D237" s="77" t="n"/>
      <c r="E237" s="78" t="n"/>
    </row>
    <row r="238" ht="25" customHeight="1" s="18">
      <c r="A238" s="101" t="n"/>
      <c r="B238" s="89" t="n"/>
      <c r="C238" s="74" t="n"/>
      <c r="D238" s="74" t="n"/>
      <c r="E238" s="75" t="n"/>
    </row>
    <row r="239" ht="25" customHeight="1" s="18">
      <c r="A239" s="102" t="n"/>
      <c r="B239" s="66" t="n"/>
      <c r="C239" s="77" t="n"/>
      <c r="D239" s="77" t="n"/>
      <c r="E239" s="78" t="n"/>
    </row>
    <row r="240" ht="25" customHeight="1" s="18">
      <c r="A240" s="101" t="n"/>
      <c r="B240" s="89" t="n"/>
      <c r="C240" s="74" t="n"/>
      <c r="D240" s="74" t="n"/>
      <c r="E240" s="75" t="n"/>
    </row>
    <row r="241" ht="25" customHeight="1" s="18">
      <c r="A241" s="102" t="n"/>
      <c r="B241" s="66" t="n"/>
      <c r="C241" s="77" t="n"/>
      <c r="D241" s="77" t="n"/>
      <c r="E241" s="78" t="n"/>
    </row>
    <row r="242" ht="25" customHeight="1" s="18">
      <c r="A242" s="101" t="n"/>
      <c r="B242" s="89" t="n"/>
      <c r="C242" s="74" t="n"/>
      <c r="D242" s="74" t="n"/>
      <c r="E242" s="75" t="n"/>
    </row>
    <row r="243" ht="25" customHeight="1" s="18">
      <c r="A243" s="102" t="n"/>
      <c r="B243" s="66" t="n"/>
      <c r="C243" s="77" t="n"/>
      <c r="D243" s="77" t="n"/>
      <c r="E243" s="78" t="n"/>
    </row>
    <row r="244" ht="25" customHeight="1" s="18">
      <c r="A244" s="101" t="n"/>
      <c r="B244" s="89" t="n"/>
      <c r="C244" s="74" t="n"/>
      <c r="D244" s="74" t="n"/>
      <c r="E244" s="75" t="n"/>
    </row>
    <row r="245" ht="25" customHeight="1" s="18">
      <c r="A245" s="102" t="n"/>
      <c r="B245" s="66" t="n"/>
      <c r="C245" s="77" t="n"/>
      <c r="D245" s="77" t="n"/>
      <c r="E245" s="78" t="n"/>
    </row>
    <row r="246" ht="25" customHeight="1" s="18">
      <c r="A246" s="101" t="n"/>
      <c r="B246" s="89" t="n"/>
      <c r="C246" s="74" t="n"/>
      <c r="D246" s="74" t="n"/>
      <c r="E246" s="75" t="n"/>
    </row>
    <row r="247" ht="25" customHeight="1" s="18">
      <c r="A247" s="102" t="n"/>
      <c r="B247" s="66" t="n"/>
      <c r="C247" s="77" t="n"/>
      <c r="D247" s="77" t="n"/>
      <c r="E247" s="78" t="n"/>
    </row>
    <row r="248" ht="25" customHeight="1" s="18">
      <c r="A248" s="101" t="n"/>
      <c r="B248" s="89" t="n"/>
      <c r="C248" s="74" t="n"/>
      <c r="D248" s="74" t="n"/>
      <c r="E248" s="75" t="n"/>
    </row>
    <row r="249" ht="25" customHeight="1" s="18">
      <c r="A249" s="102" t="n"/>
      <c r="B249" s="66" t="n"/>
      <c r="C249" s="77" t="n"/>
      <c r="D249" s="77" t="n"/>
      <c r="E249" s="78" t="n"/>
    </row>
    <row r="250" ht="25" customHeight="1" s="18">
      <c r="A250" s="101" t="n"/>
      <c r="B250" s="89" t="n"/>
      <c r="C250" s="74" t="n"/>
      <c r="D250" s="74" t="n"/>
      <c r="E250" s="75" t="n"/>
    </row>
    <row r="251" ht="25" customHeight="1" s="18">
      <c r="A251" s="102" t="n"/>
      <c r="B251" s="66" t="n"/>
      <c r="C251" s="77" t="n"/>
      <c r="D251" s="77" t="n"/>
      <c r="E251" s="78" t="n"/>
    </row>
    <row r="252" ht="25" customHeight="1" s="18">
      <c r="A252" s="101" t="n"/>
      <c r="B252" s="89" t="n"/>
      <c r="C252" s="74" t="n"/>
      <c r="D252" s="74" t="n"/>
      <c r="E252" s="75" t="n"/>
    </row>
    <row r="253" ht="25" customHeight="1" s="18">
      <c r="A253" s="102" t="n"/>
      <c r="B253" s="66" t="n"/>
      <c r="C253" s="77" t="n"/>
      <c r="D253" s="77" t="n"/>
      <c r="E253" s="78" t="n"/>
    </row>
    <row r="254" ht="25" customHeight="1" s="18">
      <c r="A254" s="101" t="n"/>
      <c r="B254" s="89" t="n"/>
      <c r="C254" s="74" t="n"/>
      <c r="D254" s="74" t="n"/>
      <c r="E254" s="75" t="n"/>
    </row>
    <row r="255" ht="25" customHeight="1" s="18">
      <c r="A255" s="102" t="n"/>
      <c r="B255" s="66" t="n"/>
      <c r="C255" s="77" t="n"/>
      <c r="D255" s="77" t="n"/>
      <c r="E255" s="78" t="n"/>
    </row>
    <row r="256" ht="25" customHeight="1" s="18">
      <c r="A256" s="101" t="n"/>
      <c r="B256" s="89" t="n"/>
      <c r="C256" s="74" t="n"/>
      <c r="D256" s="74" t="n"/>
      <c r="E256" s="75" t="n"/>
    </row>
    <row r="257" ht="25" customHeight="1" s="18">
      <c r="A257" s="102" t="n"/>
      <c r="B257" s="66" t="n"/>
      <c r="C257" s="77" t="n"/>
      <c r="D257" s="77" t="n"/>
      <c r="E257" s="78" t="n"/>
    </row>
    <row r="258" ht="25" customHeight="1" s="18">
      <c r="A258" s="101" t="n"/>
      <c r="B258" s="89" t="n"/>
      <c r="C258" s="74" t="n"/>
      <c r="D258" s="74" t="n"/>
      <c r="E258" s="75" t="n"/>
    </row>
    <row r="259" ht="25" customHeight="1" s="18">
      <c r="A259" s="102" t="n"/>
      <c r="B259" s="66" t="n"/>
      <c r="C259" s="77" t="n"/>
      <c r="D259" s="77" t="n"/>
      <c r="E259" s="78" t="n"/>
    </row>
    <row r="260" ht="25" customHeight="1" s="18">
      <c r="A260" s="101" t="n"/>
      <c r="B260" s="89" t="n"/>
      <c r="C260" s="74" t="n"/>
      <c r="D260" s="74" t="n"/>
      <c r="E260" s="75" t="n"/>
    </row>
    <row r="261" ht="25" customHeight="1" s="18">
      <c r="A261" s="102" t="n"/>
      <c r="B261" s="66" t="n"/>
      <c r="C261" s="77" t="n"/>
      <c r="D261" s="77" t="n"/>
      <c r="E261" s="78" t="n"/>
    </row>
    <row r="262" ht="25" customHeight="1" s="18">
      <c r="A262" s="101" t="n"/>
      <c r="B262" s="89" t="n"/>
      <c r="C262" s="74" t="n"/>
      <c r="D262" s="74" t="n"/>
      <c r="E262" s="75" t="n"/>
    </row>
    <row r="263" ht="25" customHeight="1" s="18">
      <c r="A263" s="102" t="n"/>
      <c r="B263" s="66" t="n"/>
      <c r="C263" s="77" t="n"/>
      <c r="D263" s="77" t="n"/>
      <c r="E263" s="78" t="n"/>
    </row>
    <row r="264" ht="25" customHeight="1" s="18">
      <c r="A264" s="101" t="n"/>
      <c r="B264" s="89" t="n"/>
      <c r="C264" s="74" t="n"/>
      <c r="D264" s="74" t="n"/>
      <c r="E264" s="75" t="n"/>
    </row>
    <row r="265" ht="25" customHeight="1" s="18">
      <c r="A265" s="102" t="n"/>
      <c r="B265" s="66" t="n"/>
      <c r="C265" s="77" t="n"/>
      <c r="D265" s="77" t="n"/>
      <c r="E265" s="78" t="n"/>
    </row>
    <row r="266" ht="25" customHeight="1" s="18">
      <c r="A266" s="101" t="n"/>
      <c r="B266" s="89" t="n"/>
      <c r="C266" s="74" t="n"/>
      <c r="D266" s="74" t="n"/>
      <c r="E266" s="75" t="n"/>
    </row>
    <row r="267" ht="25" customHeight="1" s="18">
      <c r="A267" s="102" t="n"/>
      <c r="B267" s="66" t="n"/>
      <c r="C267" s="77" t="n"/>
      <c r="D267" s="77" t="n"/>
      <c r="E267" s="78" t="n"/>
    </row>
    <row r="268" ht="25" customHeight="1" s="18">
      <c r="A268" s="101" t="n"/>
      <c r="B268" s="89" t="n"/>
      <c r="C268" s="74" t="n"/>
      <c r="D268" s="74" t="n"/>
      <c r="E268" s="75" t="n"/>
    </row>
    <row r="269" ht="25" customHeight="1" s="18">
      <c r="A269" s="102" t="n"/>
      <c r="B269" s="66" t="n"/>
      <c r="C269" s="77" t="n"/>
      <c r="D269" s="77" t="n"/>
      <c r="E269" s="78" t="n"/>
    </row>
    <row r="270" ht="25" customHeight="1" s="18">
      <c r="A270" s="101" t="n"/>
      <c r="B270" s="89" t="n"/>
      <c r="C270" s="74" t="n"/>
      <c r="D270" s="74" t="n"/>
      <c r="E270" s="75" t="n"/>
    </row>
    <row r="271" ht="25" customHeight="1" s="18">
      <c r="A271" s="102" t="n"/>
      <c r="B271" s="66" t="n"/>
      <c r="C271" s="77" t="n"/>
      <c r="D271" s="77" t="n"/>
      <c r="E271" s="78" t="n"/>
    </row>
    <row r="272" ht="25" customHeight="1" s="18">
      <c r="A272" s="101" t="n"/>
      <c r="B272" s="89" t="n"/>
      <c r="C272" s="74" t="n"/>
      <c r="D272" s="74" t="n"/>
      <c r="E272" s="75" t="n"/>
    </row>
    <row r="273" ht="25" customHeight="1" s="18">
      <c r="A273" s="102" t="n"/>
      <c r="B273" s="66" t="n"/>
      <c r="C273" s="77" t="n"/>
      <c r="D273" s="77" t="n"/>
      <c r="E273" s="78" t="n"/>
    </row>
    <row r="274" ht="25" customHeight="1" s="18">
      <c r="A274" s="101" t="n"/>
      <c r="B274" s="89" t="n"/>
      <c r="C274" s="74" t="n"/>
      <c r="D274" s="74" t="n"/>
      <c r="E274" s="75" t="n"/>
    </row>
    <row r="275" ht="25" customHeight="1" s="18">
      <c r="A275" s="102" t="n"/>
      <c r="B275" s="66" t="n"/>
      <c r="C275" s="77" t="n"/>
      <c r="D275" s="77" t="n"/>
      <c r="E275" s="78" t="n"/>
    </row>
    <row r="276" ht="25" customHeight="1" s="18">
      <c r="A276" s="101" t="n"/>
      <c r="B276" s="89" t="n"/>
      <c r="C276" s="74" t="n"/>
      <c r="D276" s="74" t="n"/>
      <c r="E276" s="75" t="n"/>
    </row>
    <row r="277" ht="25" customHeight="1" s="18">
      <c r="A277" s="102" t="n"/>
      <c r="B277" s="66" t="n"/>
      <c r="C277" s="77" t="n"/>
      <c r="D277" s="77" t="n"/>
      <c r="E277" s="78" t="n"/>
    </row>
    <row r="278" ht="25" customHeight="1" s="18">
      <c r="A278" s="101" t="n"/>
      <c r="B278" s="89" t="n"/>
      <c r="C278" s="74" t="n"/>
      <c r="D278" s="74" t="n"/>
      <c r="E278" s="75" t="n"/>
    </row>
    <row r="279" ht="25" customHeight="1" s="18">
      <c r="A279" s="102" t="n"/>
      <c r="B279" s="66" t="n"/>
      <c r="C279" s="77" t="n"/>
      <c r="D279" s="77" t="n"/>
      <c r="E279" s="78" t="n"/>
    </row>
    <row r="280" ht="25" customHeight="1" s="18">
      <c r="A280" s="101" t="n"/>
      <c r="B280" s="89" t="n"/>
      <c r="C280" s="74" t="n"/>
      <c r="D280" s="74" t="n"/>
      <c r="E280" s="75" t="n"/>
    </row>
    <row r="281" ht="25" customHeight="1" s="18">
      <c r="A281" s="102" t="n"/>
      <c r="B281" s="66" t="n"/>
      <c r="C281" s="77" t="n"/>
      <c r="D281" s="77" t="n"/>
      <c r="E281" s="78" t="n"/>
    </row>
    <row r="282" ht="25" customHeight="1" s="18">
      <c r="A282" s="101" t="n"/>
      <c r="B282" s="89" t="n"/>
      <c r="C282" s="74" t="n"/>
      <c r="D282" s="74" t="n"/>
      <c r="E282" s="75" t="n"/>
    </row>
    <row r="283" ht="25" customHeight="1" s="18">
      <c r="A283" s="102" t="n"/>
      <c r="B283" s="66" t="n"/>
      <c r="C283" s="77" t="n"/>
      <c r="D283" s="77" t="n"/>
      <c r="E283" s="78" t="n"/>
    </row>
    <row r="284" ht="25" customHeight="1" s="18">
      <c r="A284" s="101" t="n"/>
      <c r="B284" s="89" t="n"/>
      <c r="C284" s="74" t="n"/>
      <c r="D284" s="74" t="n"/>
      <c r="E284" s="75" t="n"/>
    </row>
    <row r="285" ht="25" customHeight="1" s="18">
      <c r="A285" s="102" t="n"/>
      <c r="B285" s="66" t="n"/>
      <c r="C285" s="77" t="n"/>
      <c r="D285" s="77" t="n"/>
      <c r="E285" s="78" t="n"/>
    </row>
    <row r="286" ht="25" customHeight="1" s="18">
      <c r="A286" s="101" t="n"/>
      <c r="B286" s="89" t="n"/>
      <c r="C286" s="74" t="n"/>
      <c r="D286" s="74" t="n"/>
      <c r="E286" s="75" t="n"/>
    </row>
    <row r="287" ht="25" customHeight="1" s="18">
      <c r="A287" s="102" t="n"/>
      <c r="B287" s="66" t="n"/>
      <c r="C287" s="77" t="n"/>
      <c r="D287" s="77" t="n"/>
      <c r="E287" s="78" t="n"/>
    </row>
    <row r="288" ht="25" customHeight="1" s="18">
      <c r="A288" s="101" t="n"/>
      <c r="B288" s="89" t="n"/>
      <c r="C288" s="74" t="n"/>
      <c r="D288" s="74" t="n"/>
      <c r="E288" s="75" t="n"/>
    </row>
    <row r="289" ht="25" customHeight="1" s="18">
      <c r="A289" s="102" t="n"/>
      <c r="B289" s="66" t="n"/>
      <c r="C289" s="77" t="n"/>
      <c r="D289" s="77" t="n"/>
      <c r="E289" s="78" t="n"/>
    </row>
    <row r="290" ht="25" customHeight="1" s="18">
      <c r="A290" s="101" t="n"/>
      <c r="B290" s="89" t="n"/>
      <c r="C290" s="74" t="n"/>
      <c r="D290" s="74" t="n"/>
      <c r="E290" s="75" t="n"/>
    </row>
    <row r="291" ht="25" customHeight="1" s="18">
      <c r="A291" s="102" t="n"/>
      <c r="B291" s="66" t="n"/>
      <c r="C291" s="77" t="n"/>
      <c r="D291" s="77" t="n"/>
      <c r="E291" s="78" t="n"/>
    </row>
    <row r="292" ht="25" customHeight="1" s="18">
      <c r="A292" s="101" t="n"/>
      <c r="B292" s="89" t="n"/>
      <c r="C292" s="74" t="n"/>
      <c r="D292" s="74" t="n"/>
      <c r="E292" s="75" t="n"/>
    </row>
    <row r="293" ht="25" customHeight="1" s="18">
      <c r="A293" s="102" t="n"/>
      <c r="B293" s="66" t="n"/>
      <c r="C293" s="77" t="n"/>
      <c r="D293" s="77" t="n"/>
      <c r="E293" s="78" t="n"/>
    </row>
    <row r="294" ht="25" customHeight="1" s="18">
      <c r="A294" s="101" t="n"/>
      <c r="B294" s="89" t="n"/>
      <c r="C294" s="74" t="n"/>
      <c r="D294" s="74" t="n"/>
      <c r="E294" s="75" t="n"/>
    </row>
    <row r="295" ht="25" customHeight="1" s="18">
      <c r="A295" s="102" t="n"/>
      <c r="B295" s="66" t="n"/>
      <c r="C295" s="77" t="n"/>
      <c r="D295" s="77" t="n"/>
      <c r="E295" s="78" t="n"/>
    </row>
    <row r="296" ht="25" customHeight="1" s="18">
      <c r="A296" s="101" t="n"/>
      <c r="B296" s="89" t="n"/>
      <c r="C296" s="74" t="n"/>
      <c r="D296" s="74" t="n"/>
      <c r="E296" s="75" t="n"/>
    </row>
    <row r="297" ht="25" customHeight="1" s="18">
      <c r="A297" s="102" t="n"/>
      <c r="B297" s="66" t="n"/>
      <c r="C297" s="77" t="n"/>
      <c r="D297" s="77" t="n"/>
      <c r="E297" s="78" t="n"/>
    </row>
    <row r="298" ht="25" customHeight="1" s="18">
      <c r="A298" s="101" t="n"/>
      <c r="B298" s="89" t="n"/>
      <c r="C298" s="74" t="n"/>
      <c r="D298" s="74" t="n"/>
      <c r="E298" s="75" t="n"/>
    </row>
    <row r="299" ht="25" customHeight="1" s="18">
      <c r="A299" s="102" t="n"/>
      <c r="B299" s="66" t="n"/>
      <c r="C299" s="77" t="n"/>
      <c r="D299" s="77" t="n"/>
      <c r="E299" s="78" t="n"/>
    </row>
    <row r="300" ht="25" customHeight="1" s="18">
      <c r="A300" s="101" t="n"/>
      <c r="B300" s="89" t="n"/>
      <c r="C300" s="74" t="n"/>
      <c r="D300" s="74" t="n"/>
      <c r="E300" s="75" t="n"/>
    </row>
    <row r="301" ht="25" customHeight="1" s="18">
      <c r="A301" s="102" t="n"/>
      <c r="B301" s="66" t="n"/>
      <c r="C301" s="77" t="n"/>
      <c r="D301" s="77" t="n"/>
      <c r="E301" s="78" t="n"/>
    </row>
    <row r="302" ht="25" customHeight="1" s="18">
      <c r="A302" s="101" t="n"/>
      <c r="B302" s="89" t="n"/>
      <c r="C302" s="74" t="n"/>
      <c r="D302" s="74" t="n"/>
      <c r="E302" s="75" t="n"/>
    </row>
    <row r="303" ht="25" customHeight="1" s="18">
      <c r="A303" s="102" t="n"/>
      <c r="B303" s="66" t="n"/>
      <c r="C303" s="77" t="n"/>
      <c r="D303" s="77" t="n"/>
      <c r="E303" s="78" t="n"/>
    </row>
    <row r="304" ht="25" customHeight="1" s="18">
      <c r="A304" s="101" t="n"/>
      <c r="B304" s="89" t="n"/>
      <c r="C304" s="74" t="n"/>
      <c r="D304" s="74" t="n"/>
      <c r="E304" s="75" t="n"/>
    </row>
    <row r="305" ht="25" customHeight="1" s="18">
      <c r="A305" s="102" t="n"/>
      <c r="B305" s="66" t="n"/>
      <c r="C305" s="77" t="n"/>
      <c r="D305" s="77" t="n"/>
      <c r="E305" s="78" t="n"/>
    </row>
    <row r="306" ht="25" customHeight="1" s="18">
      <c r="A306" s="101" t="n"/>
      <c r="B306" s="89" t="n"/>
      <c r="C306" s="74" t="n"/>
      <c r="D306" s="74" t="n"/>
      <c r="E306" s="75" t="n"/>
    </row>
    <row r="307" ht="25" customHeight="1" s="18">
      <c r="A307" s="102" t="n"/>
      <c r="B307" s="66" t="n"/>
      <c r="C307" s="77" t="n"/>
      <c r="D307" s="77" t="n"/>
      <c r="E307" s="78" t="n"/>
    </row>
    <row r="308" ht="25" customHeight="1" s="18">
      <c r="A308" s="101" t="n"/>
      <c r="B308" s="89" t="n"/>
      <c r="C308" s="74" t="n"/>
      <c r="D308" s="74" t="n"/>
      <c r="E308" s="75" t="n"/>
    </row>
    <row r="309" ht="25" customHeight="1" s="18">
      <c r="A309" s="102" t="n"/>
      <c r="B309" s="66" t="n"/>
      <c r="C309" s="77" t="n"/>
      <c r="D309" s="77" t="n"/>
      <c r="E309" s="78" t="n"/>
    </row>
    <row r="310" ht="25" customHeight="1" s="18">
      <c r="A310" s="101" t="n"/>
      <c r="B310" s="89" t="n"/>
      <c r="C310" s="74" t="n"/>
      <c r="D310" s="74" t="n"/>
      <c r="E310" s="75" t="n"/>
    </row>
    <row r="311" ht="25" customHeight="1" s="18">
      <c r="A311" s="102" t="n"/>
      <c r="B311" s="66" t="n"/>
      <c r="C311" s="77" t="n"/>
      <c r="D311" s="77" t="n"/>
      <c r="E311" s="78" t="n"/>
    </row>
    <row r="312" ht="25" customHeight="1" s="18">
      <c r="A312" s="101" t="n"/>
      <c r="B312" s="89" t="n"/>
      <c r="C312" s="74" t="n"/>
      <c r="D312" s="74" t="n"/>
      <c r="E312" s="75" t="n"/>
    </row>
    <row r="313" ht="25" customHeight="1" s="18">
      <c r="A313" s="102" t="n"/>
      <c r="B313" s="66" t="n"/>
      <c r="C313" s="77" t="n"/>
      <c r="D313" s="77" t="n"/>
      <c r="E313" s="78" t="n"/>
    </row>
    <row r="314" ht="25" customHeight="1" s="18">
      <c r="A314" s="101" t="n"/>
      <c r="B314" s="89" t="n"/>
      <c r="C314" s="74" t="n"/>
      <c r="D314" s="74" t="n"/>
      <c r="E314" s="75" t="n"/>
    </row>
    <row r="315" ht="25" customHeight="1" s="18">
      <c r="A315" s="102" t="n"/>
      <c r="B315" s="66" t="n"/>
      <c r="C315" s="77" t="n"/>
      <c r="D315" s="77" t="n"/>
      <c r="E315" s="78" t="n"/>
    </row>
    <row r="316" ht="25" customHeight="1" s="18">
      <c r="A316" s="101" t="n"/>
      <c r="B316" s="89" t="n"/>
      <c r="C316" s="74" t="n"/>
      <c r="D316" s="74" t="n"/>
      <c r="E316" s="75" t="n"/>
    </row>
    <row r="317" ht="25" customHeight="1" s="18">
      <c r="A317" s="102" t="n"/>
      <c r="B317" s="66" t="n"/>
      <c r="C317" s="77" t="n"/>
      <c r="D317" s="77" t="n"/>
      <c r="E317" s="78" t="n"/>
    </row>
    <row r="318" ht="25" customHeight="1" s="18">
      <c r="A318" s="101" t="n"/>
      <c r="B318" s="89" t="n"/>
      <c r="C318" s="74" t="n"/>
      <c r="D318" s="74" t="n"/>
      <c r="E318" s="75" t="n"/>
    </row>
    <row r="319" ht="25" customHeight="1" s="18">
      <c r="A319" s="102" t="n"/>
      <c r="B319" s="66" t="n"/>
      <c r="C319" s="77" t="n"/>
      <c r="D319" s="77" t="n"/>
      <c r="E319" s="78" t="n"/>
    </row>
    <row r="320" ht="25" customHeight="1" s="18">
      <c r="A320" s="101" t="n"/>
      <c r="B320" s="89" t="n"/>
      <c r="C320" s="74" t="n"/>
      <c r="D320" s="74" t="n"/>
      <c r="E320" s="75" t="n"/>
    </row>
    <row r="321" ht="25" customHeight="1" s="18">
      <c r="A321" s="102" t="n"/>
      <c r="B321" s="66" t="n"/>
      <c r="C321" s="77" t="n"/>
      <c r="D321" s="77" t="n"/>
      <c r="E321" s="78" t="n"/>
    </row>
    <row r="322" ht="25" customHeight="1" s="18">
      <c r="A322" s="101" t="n"/>
      <c r="B322" s="89" t="n"/>
      <c r="C322" s="74" t="n"/>
      <c r="D322" s="74" t="n"/>
      <c r="E322" s="75" t="n"/>
    </row>
    <row r="323" ht="25" customHeight="1" s="18">
      <c r="A323" s="102" t="n"/>
      <c r="B323" s="66" t="n"/>
      <c r="C323" s="77" t="n"/>
      <c r="D323" s="77" t="n"/>
      <c r="E323" s="78" t="n"/>
    </row>
    <row r="324" ht="25" customHeight="1" s="18">
      <c r="A324" s="101" t="n"/>
      <c r="B324" s="89" t="n"/>
      <c r="C324" s="74" t="n"/>
      <c r="D324" s="74" t="n"/>
      <c r="E324" s="75" t="n"/>
    </row>
    <row r="325" ht="25" customHeight="1" s="18">
      <c r="A325" s="102" t="n"/>
      <c r="B325" s="66" t="n"/>
      <c r="C325" s="77" t="n"/>
      <c r="D325" s="77" t="n"/>
      <c r="E325" s="78" t="n"/>
    </row>
    <row r="326" ht="25" customHeight="1" s="18">
      <c r="A326" s="101" t="n"/>
      <c r="B326" s="89" t="n"/>
      <c r="C326" s="74" t="n"/>
      <c r="D326" s="74" t="n"/>
      <c r="E326" s="75" t="n"/>
    </row>
    <row r="327" ht="25" customHeight="1" s="18">
      <c r="A327" s="102" t="n"/>
      <c r="B327" s="66" t="n"/>
      <c r="C327" s="77" t="n"/>
      <c r="D327" s="77" t="n"/>
      <c r="E327" s="78" t="n"/>
    </row>
    <row r="328" ht="25" customHeight="1" s="18">
      <c r="A328" s="101" t="n"/>
      <c r="B328" s="89" t="n"/>
      <c r="C328" s="74" t="n"/>
      <c r="D328" s="74" t="n"/>
      <c r="E328" s="75" t="n"/>
    </row>
    <row r="329" ht="25" customHeight="1" s="18">
      <c r="A329" s="102" t="n"/>
      <c r="B329" s="66" t="n"/>
      <c r="C329" s="77" t="n"/>
      <c r="D329" s="77" t="n"/>
      <c r="E329" s="78" t="n"/>
    </row>
    <row r="330" ht="25" customHeight="1" s="18">
      <c r="A330" s="101" t="n"/>
      <c r="B330" s="89" t="n"/>
      <c r="C330" s="74" t="n"/>
      <c r="D330" s="74" t="n"/>
      <c r="E330" s="75" t="n"/>
    </row>
    <row r="331" ht="25" customHeight="1" s="18">
      <c r="A331" s="102" t="n"/>
      <c r="B331" s="66" t="n"/>
      <c r="C331" s="77" t="n"/>
      <c r="D331" s="77" t="n"/>
      <c r="E331" s="78" t="n"/>
    </row>
    <row r="332" ht="25" customHeight="1" s="18">
      <c r="A332" s="101" t="n"/>
      <c r="B332" s="89" t="n"/>
      <c r="C332" s="74" t="n"/>
      <c r="D332" s="74" t="n"/>
      <c r="E332" s="75" t="n"/>
    </row>
    <row r="333" ht="25" customHeight="1" s="18">
      <c r="A333" s="102" t="n"/>
      <c r="B333" s="66" t="n"/>
      <c r="C333" s="77" t="n"/>
      <c r="D333" s="77" t="n"/>
      <c r="E333" s="78" t="n"/>
    </row>
    <row r="334" ht="25" customHeight="1" s="18">
      <c r="A334" s="101" t="n"/>
      <c r="B334" s="89" t="n"/>
      <c r="C334" s="74" t="n"/>
      <c r="D334" s="74" t="n"/>
      <c r="E334" s="75" t="n"/>
    </row>
    <row r="335" ht="25" customHeight="1" s="18">
      <c r="A335" s="102" t="n"/>
      <c r="B335" s="66" t="n"/>
      <c r="C335" s="77" t="n"/>
      <c r="D335" s="77" t="n"/>
      <c r="E335" s="78" t="n"/>
    </row>
    <row r="336" ht="25" customHeight="1" s="18">
      <c r="A336" s="101" t="n"/>
      <c r="B336" s="89" t="n"/>
      <c r="C336" s="74" t="n"/>
      <c r="D336" s="74" t="n"/>
      <c r="E336" s="75" t="n"/>
    </row>
    <row r="337" ht="25" customHeight="1" s="18">
      <c r="A337" s="102" t="n"/>
      <c r="B337" s="66" t="n"/>
      <c r="C337" s="77" t="n"/>
      <c r="D337" s="77" t="n"/>
      <c r="E337" s="78" t="n"/>
    </row>
    <row r="338" ht="25" customHeight="1" s="18">
      <c r="A338" s="101" t="n"/>
      <c r="B338" s="89" t="n"/>
      <c r="C338" s="74" t="n"/>
      <c r="D338" s="74" t="n"/>
      <c r="E338" s="75" t="n"/>
    </row>
    <row r="339" ht="25" customHeight="1" s="18">
      <c r="A339" s="102" t="n"/>
      <c r="B339" s="66" t="n"/>
      <c r="C339" s="77" t="n"/>
      <c r="D339" s="77" t="n"/>
      <c r="E339" s="78" t="n"/>
    </row>
    <row r="340" ht="25" customHeight="1" s="18">
      <c r="A340" s="101" t="n"/>
      <c r="B340" s="89" t="n"/>
      <c r="C340" s="74" t="n"/>
      <c r="D340" s="74" t="n"/>
      <c r="E340" s="75" t="n"/>
    </row>
    <row r="341" ht="25" customHeight="1" s="18">
      <c r="A341" s="102" t="n"/>
      <c r="B341" s="66" t="n"/>
      <c r="C341" s="77" t="n"/>
      <c r="D341" s="77" t="n"/>
      <c r="E341" s="78" t="n"/>
    </row>
    <row r="342" ht="25" customHeight="1" s="18">
      <c r="A342" s="101" t="n"/>
      <c r="B342" s="89" t="n"/>
      <c r="C342" s="74" t="n"/>
      <c r="D342" s="74" t="n"/>
      <c r="E342" s="75" t="n"/>
    </row>
    <row r="343" ht="25" customHeight="1" s="18">
      <c r="A343" s="102" t="n"/>
      <c r="B343" s="66" t="n"/>
      <c r="C343" s="77" t="n"/>
      <c r="D343" s="77" t="n"/>
      <c r="E343" s="78" t="n"/>
    </row>
    <row r="344" ht="25" customHeight="1" s="18">
      <c r="A344" s="101" t="n"/>
      <c r="B344" s="89" t="n"/>
      <c r="C344" s="74" t="n"/>
      <c r="D344" s="74" t="n"/>
      <c r="E344" s="75" t="n"/>
    </row>
    <row r="345" ht="25" customHeight="1" s="18">
      <c r="A345" s="102" t="n"/>
      <c r="B345" s="66" t="n"/>
      <c r="C345" s="77" t="n"/>
      <c r="D345" s="77" t="n"/>
      <c r="E345" s="78" t="n"/>
    </row>
    <row r="346" ht="25" customHeight="1" s="18">
      <c r="A346" s="101" t="n"/>
      <c r="B346" s="89" t="n"/>
      <c r="C346" s="74" t="n"/>
      <c r="D346" s="74" t="n"/>
      <c r="E346" s="75" t="n"/>
    </row>
    <row r="347" ht="25" customHeight="1" s="18">
      <c r="A347" s="102" t="n"/>
      <c r="B347" s="66" t="n"/>
      <c r="C347" s="77" t="n"/>
      <c r="D347" s="77" t="n"/>
      <c r="E347" s="78" t="n"/>
    </row>
    <row r="348" ht="25" customHeight="1" s="18">
      <c r="A348" s="101" t="n"/>
      <c r="B348" s="89" t="n"/>
      <c r="C348" s="74" t="n"/>
      <c r="D348" s="74" t="n"/>
      <c r="E348" s="75" t="n"/>
    </row>
    <row r="349" ht="25" customHeight="1" s="18">
      <c r="A349" s="102" t="n"/>
      <c r="B349" s="66" t="n"/>
      <c r="C349" s="77" t="n"/>
      <c r="D349" s="77" t="n"/>
      <c r="E349" s="78" t="n"/>
    </row>
    <row r="350" ht="25" customHeight="1" s="18">
      <c r="A350" s="101" t="n"/>
      <c r="B350" s="89" t="n"/>
      <c r="C350" s="74" t="n"/>
      <c r="D350" s="74" t="n"/>
      <c r="E350" s="75" t="n"/>
    </row>
    <row r="351" ht="25" customHeight="1" s="18">
      <c r="A351" s="102" t="n"/>
      <c r="B351" s="66" t="n"/>
      <c r="C351" s="77" t="n"/>
      <c r="D351" s="77" t="n"/>
      <c r="E351" s="78" t="n"/>
    </row>
    <row r="352" ht="25" customHeight="1" s="18">
      <c r="A352" s="101" t="n"/>
      <c r="B352" s="89" t="n"/>
      <c r="C352" s="74" t="n"/>
      <c r="D352" s="74" t="n"/>
      <c r="E352" s="75" t="n"/>
    </row>
    <row r="353" ht="25" customHeight="1" s="18">
      <c r="A353" s="102" t="n"/>
      <c r="B353" s="66" t="n"/>
      <c r="C353" s="77" t="n"/>
      <c r="D353" s="77" t="n"/>
      <c r="E353" s="78" t="n"/>
    </row>
    <row r="354" ht="25" customHeight="1" s="18">
      <c r="A354" s="101" t="n"/>
      <c r="B354" s="89" t="n"/>
      <c r="C354" s="74" t="n"/>
      <c r="D354" s="74" t="n"/>
      <c r="E354" s="75" t="n"/>
    </row>
    <row r="355" ht="25" customHeight="1" s="18">
      <c r="A355" s="102" t="n"/>
      <c r="B355" s="66" t="n"/>
      <c r="C355" s="77" t="n"/>
      <c r="D355" s="77" t="n"/>
      <c r="E355" s="78" t="n"/>
    </row>
    <row r="356" ht="25" customHeight="1" s="18">
      <c r="A356" s="101" t="n"/>
      <c r="B356" s="89" t="n"/>
      <c r="C356" s="74" t="n"/>
      <c r="D356" s="74" t="n"/>
      <c r="E356" s="75" t="n"/>
    </row>
    <row r="357" ht="25" customHeight="1" s="18">
      <c r="A357" s="102" t="n"/>
      <c r="B357" s="66" t="n"/>
      <c r="C357" s="77" t="n"/>
      <c r="D357" s="77" t="n"/>
      <c r="E357" s="78" t="n"/>
    </row>
    <row r="358" ht="25" customHeight="1" s="18">
      <c r="A358" s="101" t="n"/>
      <c r="B358" s="89" t="n"/>
      <c r="C358" s="74" t="n"/>
      <c r="D358" s="74" t="n"/>
      <c r="E358" s="75" t="n"/>
    </row>
    <row r="359" ht="25" customHeight="1" s="18">
      <c r="A359" s="102" t="n"/>
      <c r="B359" s="66" t="n"/>
      <c r="C359" s="77" t="n"/>
      <c r="D359" s="77" t="n"/>
      <c r="E359" s="78" t="n"/>
    </row>
    <row r="360" ht="25" customHeight="1" s="18">
      <c r="A360" s="101" t="n"/>
      <c r="B360" s="89" t="n"/>
      <c r="C360" s="74" t="n"/>
      <c r="D360" s="74" t="n"/>
      <c r="E360" s="75" t="n"/>
    </row>
    <row r="361" ht="25" customHeight="1" s="18">
      <c r="A361" s="102" t="n"/>
      <c r="B361" s="66" t="n"/>
      <c r="C361" s="77" t="n"/>
      <c r="D361" s="77" t="n"/>
      <c r="E361" s="78" t="n"/>
    </row>
    <row r="362" ht="25" customHeight="1" s="18">
      <c r="A362" s="101" t="n"/>
      <c r="B362" s="89" t="n"/>
      <c r="C362" s="74" t="n"/>
      <c r="D362" s="74" t="n"/>
      <c r="E362" s="75" t="n"/>
    </row>
    <row r="363" ht="25" customHeight="1" s="18">
      <c r="A363" s="102" t="n"/>
      <c r="B363" s="66" t="n"/>
      <c r="C363" s="77" t="n"/>
      <c r="D363" s="77" t="n"/>
      <c r="E363" s="78" t="n"/>
    </row>
    <row r="364" ht="25" customHeight="1" s="18">
      <c r="A364" s="101" t="n"/>
      <c r="B364" s="89" t="n"/>
      <c r="C364" s="74" t="n"/>
      <c r="D364" s="74" t="n"/>
      <c r="E364" s="75" t="n"/>
    </row>
    <row r="365" ht="25" customHeight="1" s="18">
      <c r="A365" s="102" t="n"/>
      <c r="B365" s="66" t="n"/>
      <c r="C365" s="77" t="n"/>
      <c r="D365" s="77" t="n"/>
      <c r="E365" s="78" t="n"/>
    </row>
    <row r="366" ht="25" customHeight="1" s="18">
      <c r="A366" s="101" t="n"/>
      <c r="B366" s="89" t="n"/>
      <c r="C366" s="74" t="n"/>
      <c r="D366" s="74" t="n"/>
      <c r="E366" s="75" t="n"/>
    </row>
    <row r="367" ht="25" customHeight="1" s="18">
      <c r="A367" s="102" t="n"/>
      <c r="B367" s="66" t="n"/>
      <c r="C367" s="77" t="n"/>
      <c r="D367" s="77" t="n"/>
      <c r="E367" s="78" t="n"/>
    </row>
    <row r="368" ht="25" customHeight="1" s="18">
      <c r="A368" s="101" t="n"/>
      <c r="B368" s="89" t="n"/>
      <c r="C368" s="74" t="n"/>
      <c r="D368" s="74" t="n"/>
      <c r="E368" s="75" t="n"/>
    </row>
    <row r="369" ht="25" customHeight="1" s="18">
      <c r="A369" s="102" t="n"/>
      <c r="B369" s="66" t="n"/>
      <c r="C369" s="77" t="n"/>
      <c r="D369" s="77" t="n"/>
      <c r="E369" s="78" t="n"/>
    </row>
    <row r="370" ht="25" customHeight="1" s="18">
      <c r="A370" s="101" t="n"/>
      <c r="B370" s="89" t="n"/>
      <c r="C370" s="74" t="n"/>
      <c r="D370" s="74" t="n"/>
      <c r="E370" s="75" t="n"/>
    </row>
    <row r="371" ht="25" customHeight="1" s="18">
      <c r="A371" s="102" t="n"/>
      <c r="B371" s="66" t="n"/>
      <c r="C371" s="77" t="n"/>
      <c r="D371" s="77" t="n"/>
      <c r="E371" s="78" t="n"/>
    </row>
    <row r="372" ht="25" customHeight="1" s="18">
      <c r="A372" s="101" t="n"/>
      <c r="B372" s="89" t="n"/>
      <c r="C372" s="74" t="n"/>
      <c r="D372" s="74" t="n"/>
      <c r="E372" s="75" t="n"/>
    </row>
    <row r="373" ht="25" customHeight="1" s="18">
      <c r="A373" s="102" t="n"/>
      <c r="B373" s="66" t="n"/>
      <c r="C373" s="77" t="n"/>
      <c r="D373" s="77" t="n"/>
      <c r="E373" s="78" t="n"/>
    </row>
    <row r="374" ht="25" customHeight="1" s="18">
      <c r="A374" s="101" t="n"/>
      <c r="B374" s="89" t="n"/>
      <c r="C374" s="74" t="n"/>
      <c r="D374" s="74" t="n"/>
      <c r="E374" s="75" t="n"/>
    </row>
    <row r="375" ht="25" customHeight="1" s="18">
      <c r="A375" s="102" t="n"/>
      <c r="B375" s="66" t="n"/>
      <c r="C375" s="77" t="n"/>
      <c r="D375" s="77" t="n"/>
      <c r="E375" s="78" t="n"/>
    </row>
    <row r="376" ht="25" customHeight="1" s="18">
      <c r="A376" s="101" t="n"/>
      <c r="B376" s="89" t="n"/>
      <c r="C376" s="74" t="n"/>
      <c r="D376" s="74" t="n"/>
      <c r="E376" s="75" t="n"/>
    </row>
    <row r="377" ht="25" customHeight="1" s="18">
      <c r="A377" s="102" t="n"/>
      <c r="B377" s="66" t="n"/>
      <c r="C377" s="77" t="n"/>
      <c r="D377" s="77" t="n"/>
      <c r="E377" s="78" t="n"/>
    </row>
    <row r="378" ht="25" customHeight="1" s="18">
      <c r="A378" s="101" t="n"/>
      <c r="B378" s="89" t="n"/>
      <c r="C378" s="74" t="n"/>
      <c r="D378" s="74" t="n"/>
      <c r="E378" s="75" t="n"/>
    </row>
    <row r="379" ht="25" customHeight="1" s="18">
      <c r="A379" s="102" t="n"/>
      <c r="B379" s="66" t="n"/>
      <c r="C379" s="77" t="n"/>
      <c r="D379" s="77" t="n"/>
      <c r="E379" s="78" t="n"/>
    </row>
    <row r="380" ht="25" customHeight="1" s="18">
      <c r="A380" s="101" t="n"/>
      <c r="B380" s="89" t="n"/>
      <c r="C380" s="74" t="n"/>
      <c r="D380" s="74" t="n"/>
      <c r="E380" s="75" t="n"/>
    </row>
    <row r="381" ht="25" customHeight="1" s="18">
      <c r="A381" s="102" t="n"/>
      <c r="B381" s="66" t="n"/>
      <c r="C381" s="77" t="n"/>
      <c r="D381" s="77" t="n"/>
      <c r="E381" s="78" t="n"/>
    </row>
    <row r="382" ht="25" customHeight="1" s="18">
      <c r="A382" s="101" t="n"/>
      <c r="B382" s="89" t="n"/>
      <c r="C382" s="74" t="n"/>
      <c r="D382" s="74" t="n"/>
      <c r="E382" s="75" t="n"/>
    </row>
    <row r="383" ht="25" customHeight="1" s="18">
      <c r="A383" s="102" t="n"/>
      <c r="B383" s="66" t="n"/>
      <c r="C383" s="77" t="n"/>
      <c r="D383" s="77" t="n"/>
      <c r="E383" s="78" t="n"/>
    </row>
    <row r="384" ht="25" customHeight="1" s="18">
      <c r="A384" s="101" t="n"/>
      <c r="B384" s="89" t="n"/>
      <c r="C384" s="74" t="n"/>
      <c r="D384" s="74" t="n"/>
      <c r="E384" s="75" t="n"/>
    </row>
    <row r="385" ht="25" customHeight="1" s="18">
      <c r="A385" s="102" t="n"/>
      <c r="B385" s="66" t="n"/>
      <c r="C385" s="77" t="n"/>
      <c r="D385" s="77" t="n"/>
      <c r="E385" s="78" t="n"/>
    </row>
    <row r="386" ht="25" customHeight="1" s="18">
      <c r="A386" s="101" t="n"/>
      <c r="B386" s="89" t="n"/>
      <c r="C386" s="74" t="n"/>
      <c r="D386" s="74" t="n"/>
      <c r="E386" s="75" t="n"/>
    </row>
    <row r="387" ht="25" customHeight="1" s="18">
      <c r="A387" s="102" t="n"/>
      <c r="B387" s="66" t="n"/>
      <c r="C387" s="77" t="n"/>
      <c r="D387" s="77" t="n"/>
      <c r="E387" s="78" t="n"/>
    </row>
    <row r="388" ht="25" customHeight="1" s="18">
      <c r="A388" s="101" t="n"/>
      <c r="B388" s="89" t="n"/>
      <c r="C388" s="74" t="n"/>
      <c r="D388" s="74" t="n"/>
      <c r="E388" s="75" t="n"/>
    </row>
    <row r="389" ht="25" customHeight="1" s="18">
      <c r="A389" s="102" t="n"/>
      <c r="B389" s="66" t="n"/>
      <c r="C389" s="77" t="n"/>
      <c r="D389" s="77" t="n"/>
      <c r="E389" s="78" t="n"/>
    </row>
    <row r="390" ht="25" customHeight="1" s="18">
      <c r="A390" s="101" t="n"/>
      <c r="B390" s="89" t="n"/>
      <c r="C390" s="74" t="n"/>
      <c r="D390" s="74" t="n"/>
      <c r="E390" s="75" t="n"/>
    </row>
    <row r="391" ht="25" customHeight="1" s="18">
      <c r="A391" s="102" t="n"/>
      <c r="B391" s="66" t="n"/>
      <c r="C391" s="77" t="n"/>
      <c r="D391" s="77" t="n"/>
      <c r="E391" s="78" t="n"/>
    </row>
    <row r="392" ht="25" customHeight="1" s="18">
      <c r="A392" s="101" t="n"/>
      <c r="B392" s="89" t="n"/>
      <c r="C392" s="74" t="n"/>
      <c r="D392" s="74" t="n"/>
      <c r="E392" s="75" t="n"/>
    </row>
    <row r="393" ht="25" customHeight="1" s="18">
      <c r="A393" s="102" t="n"/>
      <c r="B393" s="66" t="n"/>
      <c r="C393" s="77" t="n"/>
      <c r="D393" s="77" t="n"/>
      <c r="E393" s="78" t="n"/>
    </row>
    <row r="394" ht="25" customHeight="1" s="18">
      <c r="A394" s="101" t="n"/>
      <c r="B394" s="89" t="n"/>
      <c r="C394" s="74" t="n"/>
      <c r="D394" s="74" t="n"/>
      <c r="E394" s="75" t="n"/>
    </row>
    <row r="395" ht="25" customHeight="1" s="18">
      <c r="A395" s="102" t="n"/>
      <c r="B395" s="66" t="n"/>
      <c r="C395" s="77" t="n"/>
      <c r="D395" s="77" t="n"/>
      <c r="E395" s="78" t="n"/>
    </row>
    <row r="396" ht="25" customHeight="1" s="18">
      <c r="A396" s="101" t="n"/>
      <c r="B396" s="89" t="n"/>
      <c r="C396" s="74" t="n"/>
      <c r="D396" s="74" t="n"/>
      <c r="E396" s="75" t="n"/>
    </row>
    <row r="397" ht="25" customHeight="1" s="18">
      <c r="A397" s="102" t="n"/>
      <c r="B397" s="66" t="n"/>
      <c r="C397" s="77" t="n"/>
      <c r="D397" s="77" t="n"/>
      <c r="E397" s="78" t="n"/>
    </row>
    <row r="398" ht="25" customHeight="1" s="18">
      <c r="A398" s="101" t="n"/>
      <c r="B398" s="89" t="n"/>
      <c r="C398" s="74" t="n"/>
      <c r="D398" s="74" t="n"/>
      <c r="E398" s="75" t="n"/>
    </row>
    <row r="399" ht="25" customHeight="1" s="18">
      <c r="A399" s="102" t="n"/>
      <c r="B399" s="66" t="n"/>
      <c r="C399" s="77" t="n"/>
      <c r="D399" s="77" t="n"/>
      <c r="E399" s="78" t="n"/>
    </row>
    <row r="400" ht="25" customHeight="1" s="18">
      <c r="A400" s="101" t="n"/>
      <c r="B400" s="89" t="n"/>
      <c r="C400" s="74" t="n"/>
      <c r="D400" s="74" t="n"/>
      <c r="E400" s="75" t="n"/>
    </row>
    <row r="401" ht="25" customHeight="1" s="18">
      <c r="A401" s="102" t="n"/>
      <c r="B401" s="66" t="n"/>
      <c r="C401" s="77" t="n"/>
      <c r="D401" s="77" t="n"/>
      <c r="E401" s="78" t="n"/>
    </row>
    <row r="402" ht="25" customHeight="1" s="18">
      <c r="A402" s="101" t="n"/>
      <c r="B402" s="89" t="n"/>
      <c r="C402" s="74" t="n"/>
      <c r="D402" s="74" t="n"/>
      <c r="E402" s="75" t="n"/>
    </row>
    <row r="403" ht="25" customHeight="1" s="18">
      <c r="A403" s="102" t="n"/>
      <c r="B403" s="66" t="n"/>
      <c r="C403" s="77" t="n"/>
      <c r="D403" s="77" t="n"/>
      <c r="E403" s="78" t="n"/>
    </row>
    <row r="404" ht="25" customHeight="1" s="18">
      <c r="A404" s="101" t="n"/>
      <c r="B404" s="89" t="n"/>
      <c r="C404" s="74" t="n"/>
      <c r="D404" s="74" t="n"/>
      <c r="E404" s="75" t="n"/>
    </row>
    <row r="405" ht="25" customHeight="1" s="18">
      <c r="A405" s="102" t="n"/>
      <c r="B405" s="66" t="n"/>
      <c r="C405" s="77" t="n"/>
      <c r="D405" s="77" t="n"/>
      <c r="E405" s="78" t="n"/>
    </row>
    <row r="406" ht="25" customHeight="1" s="18">
      <c r="A406" s="101" t="n"/>
      <c r="B406" s="89" t="n"/>
      <c r="C406" s="74" t="n"/>
      <c r="D406" s="74" t="n"/>
      <c r="E406" s="75" t="n"/>
    </row>
    <row r="407" ht="25" customHeight="1" s="18">
      <c r="A407" s="102" t="n"/>
      <c r="B407" s="66" t="n"/>
      <c r="C407" s="77" t="n"/>
      <c r="D407" s="77" t="n"/>
      <c r="E407" s="78" t="n"/>
    </row>
    <row r="408" ht="25" customHeight="1" s="18">
      <c r="A408" s="101" t="n"/>
      <c r="B408" s="89" t="n"/>
      <c r="C408" s="74" t="n"/>
      <c r="D408" s="74" t="n"/>
      <c r="E408" s="75" t="n"/>
    </row>
    <row r="409" ht="25" customHeight="1" s="18">
      <c r="A409" s="102" t="n"/>
      <c r="B409" s="66" t="n"/>
      <c r="C409" s="77" t="n"/>
      <c r="D409" s="77" t="n"/>
      <c r="E409" s="78" t="n"/>
    </row>
    <row r="410" ht="25" customHeight="1" s="18">
      <c r="A410" s="101" t="n"/>
      <c r="B410" s="89" t="n"/>
      <c r="C410" s="74" t="n"/>
      <c r="D410" s="74" t="n"/>
      <c r="E410" s="75" t="n"/>
    </row>
    <row r="411" ht="25" customHeight="1" s="18">
      <c r="A411" s="102" t="n"/>
      <c r="B411" s="66" t="n"/>
      <c r="C411" s="77" t="n"/>
      <c r="D411" s="77" t="n"/>
      <c r="E411" s="78" t="n"/>
    </row>
    <row r="412" ht="25" customHeight="1" s="18">
      <c r="A412" s="101" t="n"/>
      <c r="B412" s="89" t="n"/>
      <c r="C412" s="74" t="n"/>
      <c r="D412" s="74" t="n"/>
      <c r="E412" s="75" t="n"/>
    </row>
    <row r="413" ht="25" customHeight="1" s="18">
      <c r="A413" s="102" t="n"/>
      <c r="B413" s="66" t="n"/>
      <c r="C413" s="77" t="n"/>
      <c r="D413" s="77" t="n"/>
      <c r="E413" s="78" t="n"/>
    </row>
    <row r="414" ht="25" customHeight="1" s="18">
      <c r="A414" s="101" t="n"/>
      <c r="B414" s="89" t="n"/>
      <c r="C414" s="74" t="n"/>
      <c r="D414" s="74" t="n"/>
      <c r="E414" s="75" t="n"/>
    </row>
    <row r="415" ht="25" customHeight="1" s="18">
      <c r="A415" s="102" t="n"/>
      <c r="B415" s="66" t="n"/>
      <c r="C415" s="77" t="n"/>
      <c r="D415" s="77" t="n"/>
      <c r="E415" s="78" t="n"/>
    </row>
    <row r="416" ht="25" customHeight="1" s="18">
      <c r="A416" s="101" t="n"/>
      <c r="B416" s="89" t="n"/>
      <c r="C416" s="74" t="n"/>
      <c r="D416" s="74" t="n"/>
      <c r="E416" s="75" t="n"/>
    </row>
    <row r="417" ht="25" customHeight="1" s="18">
      <c r="A417" s="102" t="n"/>
      <c r="B417" s="66" t="n"/>
      <c r="C417" s="77" t="n"/>
      <c r="D417" s="77" t="n"/>
      <c r="E417" s="78" t="n"/>
    </row>
    <row r="418" ht="25" customHeight="1" s="18">
      <c r="A418" s="101" t="n"/>
      <c r="B418" s="89" t="n"/>
      <c r="C418" s="74" t="n"/>
      <c r="D418" s="74" t="n"/>
      <c r="E418" s="75" t="n"/>
    </row>
    <row r="419" ht="25" customHeight="1" s="18">
      <c r="A419" s="102" t="n"/>
      <c r="B419" s="66" t="n"/>
      <c r="C419" s="77" t="n"/>
      <c r="D419" s="77" t="n"/>
      <c r="E419" s="78" t="n"/>
    </row>
    <row r="420" ht="25" customHeight="1" s="18">
      <c r="A420" s="101" t="n"/>
      <c r="B420" s="89" t="n"/>
      <c r="C420" s="74" t="n"/>
      <c r="D420" s="74" t="n"/>
      <c r="E420" s="75" t="n"/>
    </row>
    <row r="421" ht="25" customHeight="1" s="18">
      <c r="A421" s="102" t="n"/>
      <c r="B421" s="66" t="n"/>
      <c r="C421" s="77" t="n"/>
      <c r="D421" s="77" t="n"/>
      <c r="E421" s="78" t="n"/>
    </row>
    <row r="422" ht="25" customHeight="1" s="18">
      <c r="A422" s="101" t="n"/>
      <c r="B422" s="89" t="n"/>
      <c r="C422" s="74" t="n"/>
      <c r="D422" s="74" t="n"/>
      <c r="E422" s="75" t="n"/>
    </row>
    <row r="423" ht="25" customHeight="1" s="18">
      <c r="A423" s="102" t="n"/>
      <c r="B423" s="66" t="n"/>
      <c r="C423" s="77" t="n"/>
      <c r="D423" s="77" t="n"/>
      <c r="E423" s="78" t="n"/>
    </row>
    <row r="424" ht="25" customHeight="1" s="18">
      <c r="A424" s="101" t="n"/>
      <c r="B424" s="89" t="n"/>
      <c r="C424" s="74" t="n"/>
      <c r="D424" s="74" t="n"/>
      <c r="E424" s="75" t="n"/>
    </row>
    <row r="425" ht="25" customHeight="1" s="18">
      <c r="A425" s="102" t="n"/>
      <c r="B425" s="66" t="n"/>
      <c r="C425" s="77" t="n"/>
      <c r="D425" s="77" t="n"/>
      <c r="E425" s="78" t="n"/>
    </row>
    <row r="426" ht="25" customHeight="1" s="18">
      <c r="A426" s="101" t="n"/>
      <c r="B426" s="89" t="n"/>
      <c r="C426" s="74" t="n"/>
      <c r="D426" s="74" t="n"/>
      <c r="E426" s="75" t="n"/>
    </row>
    <row r="427" ht="25" customHeight="1" s="18">
      <c r="A427" s="102" t="n"/>
      <c r="B427" s="66" t="n"/>
      <c r="C427" s="77" t="n"/>
      <c r="D427" s="77" t="n"/>
      <c r="E427" s="78" t="n"/>
    </row>
    <row r="428" ht="25" customHeight="1" s="18">
      <c r="A428" s="101" t="n"/>
      <c r="B428" s="89" t="n"/>
      <c r="C428" s="74" t="n"/>
      <c r="D428" s="74" t="n"/>
      <c r="E428" s="75" t="n"/>
    </row>
    <row r="429" ht="25" customHeight="1" s="18">
      <c r="A429" s="102" t="n"/>
      <c r="B429" s="66" t="n"/>
      <c r="C429" s="77" t="n"/>
      <c r="D429" s="77" t="n"/>
      <c r="E429" s="78" t="n"/>
    </row>
    <row r="430" ht="25" customHeight="1" s="18">
      <c r="A430" s="101" t="n"/>
      <c r="B430" s="89" t="n"/>
      <c r="C430" s="74" t="n"/>
      <c r="D430" s="74" t="n"/>
      <c r="E430" s="75" t="n"/>
    </row>
    <row r="431" ht="25" customHeight="1" s="18">
      <c r="A431" s="102" t="n"/>
      <c r="B431" s="66" t="n"/>
      <c r="C431" s="77" t="n"/>
      <c r="D431" s="77" t="n"/>
      <c r="E431" s="78" t="n"/>
    </row>
    <row r="432" ht="25" customHeight="1" s="18">
      <c r="A432" s="101" t="n"/>
      <c r="B432" s="89" t="n"/>
      <c r="C432" s="74" t="n"/>
      <c r="D432" s="74" t="n"/>
      <c r="E432" s="75" t="n"/>
    </row>
    <row r="433" ht="25" customHeight="1" s="18">
      <c r="A433" s="102" t="n"/>
      <c r="B433" s="66" t="n"/>
      <c r="C433" s="77" t="n"/>
      <c r="D433" s="77" t="n"/>
      <c r="E433" s="78" t="n"/>
    </row>
    <row r="434" ht="25" customHeight="1" s="18">
      <c r="A434" s="101" t="n"/>
      <c r="B434" s="89" t="n"/>
      <c r="C434" s="74" t="n"/>
      <c r="D434" s="74" t="n"/>
      <c r="E434" s="75" t="n"/>
    </row>
    <row r="435" ht="25" customHeight="1" s="18">
      <c r="A435" s="102" t="n"/>
      <c r="B435" s="66" t="n"/>
      <c r="C435" s="77" t="n"/>
      <c r="D435" s="77" t="n"/>
      <c r="E435" s="78" t="n"/>
    </row>
    <row r="436" ht="25" customHeight="1" s="18">
      <c r="A436" s="101" t="n"/>
      <c r="B436" s="89" t="n"/>
      <c r="C436" s="74" t="n"/>
      <c r="D436" s="74" t="n"/>
      <c r="E436" s="75" t="n"/>
    </row>
    <row r="437" ht="25" customHeight="1" s="18">
      <c r="A437" s="102" t="n"/>
      <c r="B437" s="66" t="n"/>
      <c r="C437" s="77" t="n"/>
      <c r="D437" s="77" t="n"/>
      <c r="E437" s="78" t="n"/>
    </row>
    <row r="438" ht="25" customHeight="1" s="18">
      <c r="A438" s="101" t="n"/>
      <c r="B438" s="89" t="n"/>
      <c r="C438" s="74" t="n"/>
      <c r="D438" s="74" t="n"/>
      <c r="E438" s="75" t="n"/>
    </row>
    <row r="439" ht="25" customHeight="1" s="18">
      <c r="A439" s="102" t="n"/>
      <c r="B439" s="66" t="n"/>
      <c r="C439" s="77" t="n"/>
      <c r="D439" s="77" t="n"/>
      <c r="E439" s="78" t="n"/>
    </row>
    <row r="440" ht="25" customHeight="1" s="18">
      <c r="A440" s="101" t="n"/>
      <c r="B440" s="89" t="n"/>
      <c r="C440" s="74" t="n"/>
      <c r="D440" s="74" t="n"/>
      <c r="E440" s="75" t="n"/>
    </row>
    <row r="441" ht="25" customHeight="1" s="18">
      <c r="A441" s="102" t="n"/>
      <c r="B441" s="66" t="n"/>
      <c r="C441" s="77" t="n"/>
      <c r="D441" s="77" t="n"/>
      <c r="E441" s="78" t="n"/>
    </row>
    <row r="442" ht="25" customHeight="1" s="18">
      <c r="A442" s="101" t="n"/>
      <c r="B442" s="89" t="n"/>
      <c r="C442" s="74" t="n"/>
      <c r="D442" s="74" t="n"/>
      <c r="E442" s="75" t="n"/>
    </row>
    <row r="443" ht="25" customHeight="1" s="18">
      <c r="A443" s="102" t="n"/>
      <c r="B443" s="66" t="n"/>
      <c r="C443" s="77" t="n"/>
      <c r="D443" s="77" t="n"/>
      <c r="E443" s="78" t="n"/>
    </row>
    <row r="444" ht="25" customHeight="1" s="18">
      <c r="A444" s="101" t="n"/>
      <c r="B444" s="89" t="n"/>
      <c r="C444" s="74" t="n"/>
      <c r="D444" s="74" t="n"/>
      <c r="E444" s="75" t="n"/>
    </row>
    <row r="445" ht="25" customHeight="1" s="18">
      <c r="A445" s="102" t="n"/>
      <c r="B445" s="66" t="n"/>
      <c r="C445" s="77" t="n"/>
      <c r="D445" s="77" t="n"/>
      <c r="E445" s="78" t="n"/>
    </row>
    <row r="446" ht="25" customHeight="1" s="18">
      <c r="A446" s="101" t="n"/>
      <c r="B446" s="89" t="n"/>
      <c r="C446" s="74" t="n"/>
      <c r="D446" s="74" t="n"/>
      <c r="E446" s="75" t="n"/>
    </row>
    <row r="447" ht="25" customHeight="1" s="18">
      <c r="A447" s="102" t="n"/>
      <c r="B447" s="66" t="n"/>
      <c r="C447" s="77" t="n"/>
      <c r="D447" s="77" t="n"/>
      <c r="E447" s="78" t="n"/>
    </row>
    <row r="448" ht="25" customHeight="1" s="18">
      <c r="A448" s="101" t="n"/>
      <c r="B448" s="89" t="n"/>
      <c r="C448" s="74" t="n"/>
      <c r="D448" s="74" t="n"/>
      <c r="E448" s="75" t="n"/>
    </row>
    <row r="449" ht="25" customHeight="1" s="18">
      <c r="A449" s="102" t="n"/>
      <c r="B449" s="66" t="n"/>
      <c r="C449" s="77" t="n"/>
      <c r="D449" s="77" t="n"/>
      <c r="E449" s="78" t="n"/>
    </row>
    <row r="450" ht="25" customHeight="1" s="18">
      <c r="A450" s="101" t="n"/>
      <c r="B450" s="89" t="n"/>
      <c r="C450" s="74" t="n"/>
      <c r="D450" s="74" t="n"/>
      <c r="E450" s="75" t="n"/>
    </row>
    <row r="451" ht="25" customHeight="1" s="18">
      <c r="A451" s="102" t="n"/>
      <c r="B451" s="66" t="n"/>
      <c r="C451" s="77" t="n"/>
      <c r="D451" s="77" t="n"/>
      <c r="E451" s="78" t="n"/>
    </row>
    <row r="452" ht="25" customHeight="1" s="18">
      <c r="A452" s="101" t="n"/>
      <c r="B452" s="89" t="n"/>
      <c r="C452" s="74" t="n"/>
      <c r="D452" s="74" t="n"/>
      <c r="E452" s="75" t="n"/>
    </row>
    <row r="453" ht="25" customHeight="1" s="18">
      <c r="A453" s="102" t="n"/>
      <c r="B453" s="66" t="n"/>
      <c r="C453" s="77" t="n"/>
      <c r="D453" s="77" t="n"/>
      <c r="E453" s="78" t="n"/>
    </row>
    <row r="454" ht="25" customHeight="1" s="18">
      <c r="A454" s="101" t="n"/>
      <c r="B454" s="89" t="n"/>
      <c r="C454" s="74" t="n"/>
      <c r="D454" s="74" t="n"/>
      <c r="E454" s="75" t="n"/>
    </row>
    <row r="455" ht="25" customHeight="1" s="18">
      <c r="A455" s="102" t="n"/>
      <c r="B455" s="66" t="n"/>
      <c r="C455" s="77" t="n"/>
      <c r="D455" s="77" t="n"/>
      <c r="E455" s="78" t="n"/>
    </row>
    <row r="456" ht="25" customHeight="1" s="18">
      <c r="A456" s="101" t="n"/>
      <c r="B456" s="89" t="n"/>
      <c r="C456" s="74" t="n"/>
      <c r="D456" s="74" t="n"/>
      <c r="E456" s="75" t="n"/>
    </row>
    <row r="457" ht="25" customHeight="1" s="18">
      <c r="A457" s="102" t="n"/>
      <c r="B457" s="66" t="n"/>
      <c r="C457" s="77" t="n"/>
      <c r="D457" s="77" t="n"/>
      <c r="E457" s="78" t="n"/>
    </row>
    <row r="458" ht="25" customHeight="1" s="18">
      <c r="A458" s="101" t="n"/>
      <c r="B458" s="89" t="n"/>
      <c r="C458" s="74" t="n"/>
      <c r="D458" s="74" t="n"/>
      <c r="E458" s="75" t="n"/>
    </row>
    <row r="459" ht="25" customHeight="1" s="18">
      <c r="A459" s="102" t="n"/>
      <c r="B459" s="66" t="n"/>
      <c r="C459" s="77" t="n"/>
      <c r="D459" s="77" t="n"/>
      <c r="E459" s="78" t="n"/>
    </row>
    <row r="460" ht="25" customHeight="1" s="18">
      <c r="A460" s="101" t="n"/>
      <c r="B460" s="89" t="n"/>
      <c r="C460" s="74" t="n"/>
      <c r="D460" s="74" t="n"/>
      <c r="E460" s="75" t="n"/>
    </row>
    <row r="461" ht="25" customHeight="1" s="18">
      <c r="A461" s="102" t="n"/>
      <c r="B461" s="66" t="n"/>
      <c r="C461" s="77" t="n"/>
      <c r="D461" s="77" t="n"/>
      <c r="E461" s="78" t="n"/>
    </row>
    <row r="462" ht="25" customHeight="1" s="18">
      <c r="A462" s="101" t="n"/>
      <c r="B462" s="89" t="n"/>
      <c r="C462" s="74" t="n"/>
      <c r="D462" s="74" t="n"/>
      <c r="E462" s="75" t="n"/>
    </row>
    <row r="463" ht="25" customHeight="1" s="18">
      <c r="A463" s="102" t="n"/>
      <c r="B463" s="66" t="n"/>
      <c r="C463" s="77" t="n"/>
      <c r="D463" s="77" t="n"/>
      <c r="E463" s="78" t="n"/>
    </row>
    <row r="464" ht="25" customHeight="1" s="18">
      <c r="A464" s="101" t="n"/>
      <c r="B464" s="89" t="n"/>
      <c r="C464" s="74" t="n"/>
      <c r="D464" s="74" t="n"/>
      <c r="E464" s="75" t="n"/>
    </row>
    <row r="465" ht="25" customHeight="1" s="18">
      <c r="A465" s="102" t="n"/>
      <c r="B465" s="66" t="n"/>
      <c r="C465" s="77" t="n"/>
      <c r="D465" s="77" t="n"/>
      <c r="E465" s="78" t="n"/>
    </row>
    <row r="466" ht="25" customHeight="1" s="18">
      <c r="A466" s="101" t="n"/>
      <c r="B466" s="89" t="n"/>
      <c r="C466" s="74" t="n"/>
      <c r="D466" s="74" t="n"/>
      <c r="E466" s="75" t="n"/>
    </row>
    <row r="467" ht="25" customHeight="1" s="18">
      <c r="A467" s="102" t="n"/>
      <c r="B467" s="66" t="n"/>
      <c r="C467" s="77" t="n"/>
      <c r="D467" s="77" t="n"/>
      <c r="E467" s="78" t="n"/>
    </row>
    <row r="468" ht="25" customHeight="1" s="18">
      <c r="A468" s="101" t="n"/>
      <c r="B468" s="89" t="n"/>
      <c r="C468" s="74" t="n"/>
      <c r="D468" s="74" t="n"/>
      <c r="E468" s="75" t="n"/>
    </row>
    <row r="469" ht="25" customHeight="1" s="18">
      <c r="A469" s="102" t="n"/>
      <c r="B469" s="66" t="n"/>
      <c r="C469" s="77" t="n"/>
      <c r="D469" s="77" t="n"/>
      <c r="E469" s="78" t="n"/>
    </row>
    <row r="470" ht="25" customHeight="1" s="18">
      <c r="A470" s="101" t="n"/>
      <c r="B470" s="89" t="n"/>
      <c r="C470" s="74" t="n"/>
      <c r="D470" s="74" t="n"/>
      <c r="E470" s="75" t="n"/>
    </row>
    <row r="471" ht="25" customHeight="1" s="18">
      <c r="A471" s="102" t="n"/>
      <c r="B471" s="66" t="n"/>
      <c r="C471" s="77" t="n"/>
      <c r="D471" s="77" t="n"/>
      <c r="E471" s="78" t="n"/>
    </row>
    <row r="472" ht="25" customHeight="1" s="18">
      <c r="A472" s="101" t="n"/>
      <c r="B472" s="89" t="n"/>
      <c r="C472" s="74" t="n"/>
      <c r="D472" s="74" t="n"/>
      <c r="E472" s="75" t="n"/>
    </row>
    <row r="473" ht="25" customHeight="1" s="18">
      <c r="A473" s="102" t="n"/>
      <c r="B473" s="66" t="n"/>
      <c r="C473" s="77" t="n"/>
      <c r="D473" s="77" t="n"/>
      <c r="E473" s="78" t="n"/>
    </row>
    <row r="474" ht="25" customHeight="1" s="18">
      <c r="A474" s="101" t="n"/>
      <c r="B474" s="89" t="n"/>
      <c r="C474" s="74" t="n"/>
      <c r="D474" s="74" t="n"/>
      <c r="E474" s="75" t="n"/>
    </row>
    <row r="475" ht="25" customHeight="1" s="18">
      <c r="A475" s="102" t="n"/>
      <c r="B475" s="66" t="n"/>
      <c r="C475" s="77" t="n"/>
      <c r="D475" s="77" t="n"/>
      <c r="E475" s="78" t="n"/>
    </row>
    <row r="476" ht="25" customHeight="1" s="18">
      <c r="A476" s="101" t="n"/>
      <c r="B476" s="89" t="n"/>
      <c r="C476" s="74" t="n"/>
      <c r="D476" s="74" t="n"/>
      <c r="E476" s="75" t="n"/>
    </row>
    <row r="477" ht="25" customHeight="1" s="18">
      <c r="A477" s="102" t="n"/>
      <c r="B477" s="66" t="n"/>
      <c r="C477" s="77" t="n"/>
      <c r="D477" s="77" t="n"/>
      <c r="E477" s="78" t="n"/>
    </row>
    <row r="478" ht="25" customHeight="1" s="18">
      <c r="A478" s="101" t="n"/>
      <c r="B478" s="89" t="n"/>
      <c r="C478" s="74" t="n"/>
      <c r="D478" s="74" t="n"/>
      <c r="E478" s="75" t="n"/>
    </row>
    <row r="479" ht="25" customHeight="1" s="18">
      <c r="A479" s="102" t="n"/>
      <c r="B479" s="66" t="n"/>
      <c r="C479" s="77" t="n"/>
      <c r="D479" s="77" t="n"/>
      <c r="E479" s="78" t="n"/>
    </row>
    <row r="480" ht="25" customHeight="1" s="18">
      <c r="A480" s="101" t="n"/>
      <c r="B480" s="89" t="n"/>
      <c r="C480" s="74" t="n"/>
      <c r="D480" s="74" t="n"/>
      <c r="E480" s="75" t="n"/>
    </row>
    <row r="481" ht="25" customHeight="1" s="18">
      <c r="A481" s="102" t="n"/>
      <c r="B481" s="66" t="n"/>
      <c r="C481" s="77" t="n"/>
      <c r="D481" s="77" t="n"/>
      <c r="E481" s="78" t="n"/>
    </row>
    <row r="482" ht="25" customHeight="1" s="18">
      <c r="A482" s="101" t="n"/>
      <c r="B482" s="89" t="n"/>
      <c r="C482" s="74" t="n"/>
      <c r="D482" s="74" t="n"/>
      <c r="E482" s="75" t="n"/>
    </row>
    <row r="483" ht="25" customHeight="1" s="18">
      <c r="A483" s="102" t="n"/>
      <c r="B483" s="66" t="n"/>
      <c r="C483" s="77" t="n"/>
      <c r="D483" s="77" t="n"/>
      <c r="E483" s="78" t="n"/>
    </row>
    <row r="484" ht="25" customHeight="1" s="18">
      <c r="A484" s="101" t="n"/>
      <c r="B484" s="89" t="n"/>
      <c r="C484" s="74" t="n"/>
      <c r="D484" s="74" t="n"/>
      <c r="E484" s="75" t="n"/>
    </row>
    <row r="485" ht="25" customHeight="1" s="18">
      <c r="A485" s="102" t="n"/>
      <c r="B485" s="66" t="n"/>
      <c r="C485" s="77" t="n"/>
      <c r="D485" s="77" t="n"/>
      <c r="E485" s="78" t="n"/>
    </row>
    <row r="486" ht="25" customHeight="1" s="18">
      <c r="A486" s="101" t="n"/>
      <c r="B486" s="89" t="n"/>
      <c r="C486" s="74" t="n"/>
      <c r="D486" s="74" t="n"/>
      <c r="E486" s="75" t="n"/>
    </row>
    <row r="487" ht="25" customHeight="1" s="18">
      <c r="A487" s="102" t="n"/>
      <c r="B487" s="66" t="n"/>
      <c r="C487" s="77" t="n"/>
      <c r="D487" s="77" t="n"/>
      <c r="E487" s="78" t="n"/>
    </row>
    <row r="488" ht="25" customHeight="1" s="18">
      <c r="A488" s="101" t="n"/>
      <c r="B488" s="89" t="n"/>
      <c r="C488" s="74" t="n"/>
      <c r="D488" s="74" t="n"/>
      <c r="E488" s="75" t="n"/>
    </row>
    <row r="489" ht="25" customHeight="1" s="18">
      <c r="A489" s="102" t="n"/>
      <c r="B489" s="66" t="n"/>
      <c r="C489" s="77" t="n"/>
      <c r="D489" s="77" t="n"/>
      <c r="E489" s="78" t="n"/>
    </row>
    <row r="490" ht="25" customHeight="1" s="18">
      <c r="A490" s="101" t="n"/>
      <c r="B490" s="89" t="n"/>
      <c r="C490" s="74" t="n"/>
      <c r="D490" s="74" t="n"/>
      <c r="E490" s="75" t="n"/>
    </row>
    <row r="491" ht="25" customHeight="1" s="18">
      <c r="A491" s="102" t="n"/>
      <c r="B491" s="66" t="n"/>
      <c r="C491" s="77" t="n"/>
      <c r="D491" s="77" t="n"/>
      <c r="E491" s="78" t="n"/>
    </row>
    <row r="492" ht="25" customHeight="1" s="18">
      <c r="A492" s="101" t="n"/>
      <c r="B492" s="89" t="n"/>
      <c r="C492" s="74" t="n"/>
      <c r="D492" s="74" t="n"/>
      <c r="E492" s="75" t="n"/>
    </row>
    <row r="493" ht="25" customHeight="1" s="18">
      <c r="A493" s="102" t="n"/>
      <c r="B493" s="66" t="n"/>
      <c r="C493" s="77" t="n"/>
      <c r="D493" s="77" t="n"/>
      <c r="E493" s="78" t="n"/>
    </row>
    <row r="494" ht="25" customHeight="1" s="18">
      <c r="A494" s="101" t="n"/>
      <c r="B494" s="89" t="n"/>
      <c r="C494" s="74" t="n"/>
      <c r="D494" s="74" t="n"/>
      <c r="E494" s="75" t="n"/>
    </row>
    <row r="495" ht="25" customHeight="1" s="18">
      <c r="A495" s="102" t="n"/>
      <c r="B495" s="66" t="n"/>
      <c r="C495" s="77" t="n"/>
      <c r="D495" s="77" t="n"/>
      <c r="E495" s="78" t="n"/>
    </row>
    <row r="496" ht="25" customHeight="1" s="18">
      <c r="A496" s="101" t="n"/>
      <c r="B496" s="89" t="n"/>
      <c r="C496" s="74" t="n"/>
      <c r="D496" s="74" t="n"/>
      <c r="E496" s="75" t="n"/>
    </row>
    <row r="497" ht="25" customHeight="1" s="18">
      <c r="A497" s="102" t="n"/>
      <c r="B497" s="66" t="n"/>
      <c r="C497" s="77" t="n"/>
      <c r="D497" s="77" t="n"/>
      <c r="E497" s="78" t="n"/>
    </row>
    <row r="498" ht="25" customHeight="1" s="18">
      <c r="A498" s="101" t="n"/>
      <c r="B498" s="89" t="n"/>
      <c r="C498" s="74" t="n"/>
      <c r="D498" s="74" t="n"/>
      <c r="E498" s="75" t="n"/>
    </row>
    <row r="499" ht="25" customHeight="1" s="18">
      <c r="A499" s="102" t="n"/>
      <c r="B499" s="66" t="n"/>
      <c r="C499" s="77" t="n"/>
      <c r="D499" s="77" t="n"/>
      <c r="E499" s="78" t="n"/>
    </row>
  </sheetData>
  <conditionalFormatting sqref="D2:D500">
    <cfRule type="expression" priority="1" dxfId="8">
      <formula>D2="Gasto"</formula>
    </cfRule>
    <cfRule type="expression" priority="2" dxfId="7">
      <formula>D2="Ingreso"</formula>
    </cfRule>
  </conditionalFormatting>
  <dataValidations count="3">
    <dataValidation sqref="C2:C500" showDropDown="0" showInputMessage="0" showErrorMessage="0" allowBlank="1" type="list">
      <formula1>'Categorías'!$A$2:$A$15</formula1>
    </dataValidation>
    <dataValidation sqref="D2:D500" showDropDown="0" showInputMessage="0" showErrorMessage="0" allowBlank="1" type="list">
      <formula1>"Ingreso,Gasto"</formula1>
    </dataValidation>
    <dataValidation sqref="A2:A500" showDropDown="0" showInputMessage="0" showErrorMessage="0" allowBlank="1" errorTitle="Fecha no válida" error="Por favor introduce una fecha válida (dd/mm/yyyy) o utiliza el selector de fecha." type="date" operator="greaterThanOrEqual">
      <formula1>DATE(2000,1,1)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 outlineLevelCol="0"/>
  <cols>
    <col width="18" customWidth="1" style="18" min="1" max="1"/>
    <col width="22" customWidth="1" style="18" min="2" max="2"/>
    <col width="22" customWidth="1" style="18" min="3" max="3"/>
    <col width="24" customWidth="1" style="18" min="4" max="4"/>
    <col width="22" customWidth="1" style="18" min="5" max="5"/>
    <col width="24" customWidth="1" style="18" min="6" max="6"/>
    <col width="24" customWidth="1" style="18" min="7" max="7"/>
    <col width="24" customWidth="1" style="18" min="8" max="8"/>
    <col width="24" customWidth="1" style="18" min="9" max="9"/>
    <col width="24" customWidth="1" style="18" min="10" max="10"/>
    <col width="24" customWidth="1" style="18" min="11" max="11"/>
    <col width="24" customWidth="1" style="18" min="12" max="12"/>
    <col width="24" customWidth="1" style="18" min="13" max="13"/>
    <col width="24" customWidth="1" style="18" min="14" max="14"/>
    <col width="24" customWidth="1" style="18" min="15" max="15"/>
    <col width="24" customWidth="1" style="18" min="16" max="16"/>
    <col width="24" customWidth="1" style="18" min="17" max="17"/>
    <col width="24" customWidth="1" style="18" min="18" max="18"/>
  </cols>
  <sheetData>
    <row r="1" ht="35" customHeight="1" s="18">
      <c r="A1" s="25" t="inlineStr">
        <is>
          <t>MATRIZ DE RESUMEN MENSUAL Y ANÁLISIS DE GASTOS 2030</t>
        </is>
      </c>
    </row>
    <row r="2" ht="30" customHeight="1" s="18">
      <c r="A2" s="96" t="inlineStr">
        <is>
          <t>Mes</t>
        </is>
      </c>
      <c r="B2" s="65" t="inlineStr">
        <is>
          <t>Ingresos (€)</t>
        </is>
      </c>
      <c r="C2" s="65" t="inlineStr">
        <is>
          <t>Gastos (€)</t>
        </is>
      </c>
      <c r="D2" s="65" t="inlineStr">
        <is>
          <t>Ahorro Neto (€)</t>
        </is>
      </c>
      <c r="E2" s="96" t="inlineStr">
        <is>
          <t>Tasa de Ahorro (%)</t>
        </is>
      </c>
      <c r="F2" s="65" t="inlineStr">
        <is>
          <t>Vivienda</t>
        </is>
      </c>
      <c r="G2" s="65" t="inlineStr">
        <is>
          <t>Comida y bebida</t>
        </is>
      </c>
      <c r="H2" s="65" t="inlineStr">
        <is>
          <t>Ocio / Viajes</t>
        </is>
      </c>
      <c r="I2" s="65" t="inlineStr">
        <is>
          <t>Ocio / salidas</t>
        </is>
      </c>
      <c r="J2" s="65" t="inlineStr">
        <is>
          <t>Tecnología / Otros</t>
        </is>
      </c>
      <c r="K2" s="65" t="inlineStr">
        <is>
          <t>Transporte / Gasolina</t>
        </is>
      </c>
      <c r="L2" s="65" t="inlineStr">
        <is>
          <t>Ocio / Eventos</t>
        </is>
      </c>
      <c r="M2" s="65" t="inlineStr">
        <is>
          <t>Salud</t>
        </is>
      </c>
      <c r="N2" s="65" t="inlineStr">
        <is>
          <t>Educación</t>
        </is>
      </c>
      <c r="O2" s="65" t="inlineStr">
        <is>
          <t>Ropa</t>
        </is>
      </c>
      <c r="P2" s="65" t="inlineStr">
        <is>
          <t>Suscripciones</t>
        </is>
      </c>
      <c r="Q2" s="65" t="inlineStr">
        <is>
          <t>Mascotas</t>
        </is>
      </c>
      <c r="R2" s="65" t="inlineStr">
        <is>
          <t>Otros</t>
        </is>
      </c>
    </row>
    <row r="3" ht="24" customHeight="1" s="18">
      <c r="A3" s="97" t="inlineStr">
        <is>
          <t>Enero</t>
        </is>
      </c>
      <c r="B3" s="78">
        <f>IF(COUNTIFS('Gastos e Ingresos 2030'!$A:$A, "&gt;="&amp;DATE(2030, 1, 1), 'Gastos e Ingresos 2030'!$A:$A, "&lt;"&amp;DATE(2030, 2, 1))&gt;0, SUMIFS('Gastos e Ingresos 2030'!$E:$E, 'Gastos e Ingresos 2030'!$D:$D, "Ingreso", 'Gastos e Ingresos 2030'!$A:$A, "&gt;="&amp;DATE(2030, 1, 1), 'Gastos e Ingresos 2030'!$A:$A, "&lt;"&amp;DATE(2030, 2, 1)), "")</f>
        <v/>
      </c>
      <c r="C3" s="78">
        <f>IF(COUNTIFS('Gastos e Ingresos 2030'!$A:$A, "&gt;="&amp;DATE(2030, 1, 1), 'Gastos e Ingresos 2030'!$A:$A, "&lt;"&amp;DATE(2030, 2, 1))&gt;0, SUMIFS('Gastos e Ingresos 2030'!$E:$E, 'Gastos e Ingresos 2030'!$D:$D, "Gasto", 'Gastos e Ingresos 2030'!$A:$A, "&gt;="&amp;DATE(2030, 1, 1), 'Gastos e Ingresos 2030'!$A:$A, "&lt;"&amp;DATE(2030, 2, 1)), "")</f>
        <v/>
      </c>
      <c r="D3" s="83">
        <f>IF(B3="","",B3-C3)</f>
        <v/>
      </c>
      <c r="E3" s="98">
        <f>IF(B3="","",IF(B3&gt;0, D3/B3, 0))</f>
        <v/>
      </c>
      <c r="F3" s="78">
        <f>IF(COUNTIFS('Gastos e Ingresos 2030'!$A:$A, "&gt;="&amp;DATE(2030, 1, 1), 'Gastos e Ingresos 2030'!$A:$A, "&lt;"&amp;DATE(2030, 2, 1))&gt;0, SUMIFS('Gastos e Ingresos 2030'!$E:$E, 'Gastos e Ingresos 2030'!$D:$D, "Gasto", 'Gastos e Ingresos 2030'!$C:$C, F$2, 'Gastos e Ingresos 2030'!$A:$A, "&gt;="&amp;DATE(2030, 1, 1), 'Gastos e Ingresos 2030'!$A:$A, "&lt;"&amp;DATE(2030, 2, 1)), "")</f>
        <v/>
      </c>
      <c r="G3" s="78">
        <f>IF(COUNTIFS('Gastos e Ingresos 2030'!$A:$A, "&gt;="&amp;DATE(2030, 1, 1), 'Gastos e Ingresos 2030'!$A:$A, "&lt;"&amp;DATE(2030, 2, 1))&gt;0, SUMIFS('Gastos e Ingresos 2030'!$E:$E, 'Gastos e Ingresos 2030'!$D:$D, "Gasto", 'Gastos e Ingresos 2030'!$C:$C, G$2, 'Gastos e Ingresos 2030'!$A:$A, "&gt;="&amp;DATE(2030, 1, 1), 'Gastos e Ingresos 2030'!$A:$A, "&lt;"&amp;DATE(2030, 2, 1)), "")</f>
        <v/>
      </c>
      <c r="H3" s="78">
        <f>IF(COUNTIFS('Gastos e Ingresos 2030'!$A:$A, "&gt;="&amp;DATE(2030, 1, 1), 'Gastos e Ingresos 2030'!$A:$A, "&lt;"&amp;DATE(2030, 2, 1))&gt;0, SUMIFS('Gastos e Ingresos 2030'!$E:$E, 'Gastos e Ingresos 2030'!$D:$D, "Gasto", 'Gastos e Ingresos 2030'!$C:$C, H$2, 'Gastos e Ingresos 2030'!$A:$A, "&gt;="&amp;DATE(2030, 1, 1), 'Gastos e Ingresos 2030'!$A:$A, "&lt;"&amp;DATE(2030, 2, 1)), "")</f>
        <v/>
      </c>
      <c r="I3" s="78">
        <f>IF(COUNTIFS('Gastos e Ingresos 2030'!$A:$A, "&gt;="&amp;DATE(2030, 1, 1), 'Gastos e Ingresos 2030'!$A:$A, "&lt;"&amp;DATE(2030, 2, 1))&gt;0, SUMIFS('Gastos e Ingresos 2030'!$E:$E, 'Gastos e Ingresos 2030'!$D:$D, "Gasto", 'Gastos e Ingresos 2030'!$C:$C, I$2, 'Gastos e Ingresos 2030'!$A:$A, "&gt;="&amp;DATE(2030, 1, 1), 'Gastos e Ingresos 2030'!$A:$A, "&lt;"&amp;DATE(2030, 2, 1)), "")</f>
        <v/>
      </c>
      <c r="J3" s="78">
        <f>IF(COUNTIFS('Gastos e Ingresos 2030'!$A:$A, "&gt;="&amp;DATE(2030, 1, 1), 'Gastos e Ingresos 2030'!$A:$A, "&lt;"&amp;DATE(2030, 2, 1))&gt;0, SUMIFS('Gastos e Ingresos 2030'!$E:$E, 'Gastos e Ingresos 2030'!$D:$D, "Gasto", 'Gastos e Ingresos 2030'!$C:$C, J$2, 'Gastos e Ingresos 2030'!$A:$A, "&gt;="&amp;DATE(2030, 1, 1), 'Gastos e Ingresos 2030'!$A:$A, "&lt;"&amp;DATE(2030, 2, 1)), "")</f>
        <v/>
      </c>
      <c r="K3" s="78">
        <f>IF(COUNTIFS('Gastos e Ingresos 2030'!$A:$A, "&gt;="&amp;DATE(2030, 1, 1), 'Gastos e Ingresos 2030'!$A:$A, "&lt;"&amp;DATE(2030, 2, 1))&gt;0, SUMIFS('Gastos e Ingresos 2030'!$E:$E, 'Gastos e Ingresos 2030'!$D:$D, "Gasto", 'Gastos e Ingresos 2030'!$C:$C, K$2, 'Gastos e Ingresos 2030'!$A:$A, "&gt;="&amp;DATE(2030, 1, 1), 'Gastos e Ingresos 2030'!$A:$A, "&lt;"&amp;DATE(2030, 2, 1)), "")</f>
        <v/>
      </c>
      <c r="L3" s="78">
        <f>IF(COUNTIFS('Gastos e Ingresos 2030'!$A:$A, "&gt;="&amp;DATE(2030, 1, 1), 'Gastos e Ingresos 2030'!$A:$A, "&lt;"&amp;DATE(2030, 2, 1))&gt;0, SUMIFS('Gastos e Ingresos 2030'!$E:$E, 'Gastos e Ingresos 2030'!$D:$D, "Gasto", 'Gastos e Ingresos 2030'!$C:$C, L$2, 'Gastos e Ingresos 2030'!$A:$A, "&gt;="&amp;DATE(2030, 1, 1), 'Gastos e Ingresos 2030'!$A:$A, "&lt;"&amp;DATE(2030, 2, 1)), "")</f>
        <v/>
      </c>
      <c r="M3" s="78">
        <f>IF(COUNTIFS('Gastos e Ingresos 2030'!$A:$A, "&gt;="&amp;DATE(2030, 1, 1), 'Gastos e Ingresos 2030'!$A:$A, "&lt;"&amp;DATE(2030, 2, 1))&gt;0, SUMIFS('Gastos e Ingresos 2030'!$E:$E, 'Gastos e Ingresos 2030'!$D:$D, "Gasto", 'Gastos e Ingresos 2030'!$C:$C, M$2, 'Gastos e Ingresos 2030'!$A:$A, "&gt;="&amp;DATE(2030, 1, 1), 'Gastos e Ingresos 2030'!$A:$A, "&lt;"&amp;DATE(2030, 2, 1)), "")</f>
        <v/>
      </c>
      <c r="N3" s="78">
        <f>IF(COUNTIFS('Gastos e Ingresos 2030'!$A:$A, "&gt;="&amp;DATE(2030, 1, 1), 'Gastos e Ingresos 2030'!$A:$A, "&lt;"&amp;DATE(2030, 2, 1))&gt;0, SUMIFS('Gastos e Ingresos 2030'!$E:$E, 'Gastos e Ingresos 2030'!$D:$D, "Gasto", 'Gastos e Ingresos 2030'!$C:$C, N$2, 'Gastos e Ingresos 2030'!$A:$A, "&gt;="&amp;DATE(2030, 1, 1), 'Gastos e Ingresos 2030'!$A:$A, "&lt;"&amp;DATE(2030, 2, 1)), "")</f>
        <v/>
      </c>
      <c r="O3" s="78">
        <f>IF(COUNTIFS('Gastos e Ingresos 2030'!$A:$A, "&gt;="&amp;DATE(2030, 1, 1), 'Gastos e Ingresos 2030'!$A:$A, "&lt;"&amp;DATE(2030, 2, 1))&gt;0, SUMIFS('Gastos e Ingresos 2030'!$E:$E, 'Gastos e Ingresos 2030'!$D:$D, "Gasto", 'Gastos e Ingresos 2030'!$C:$C, O$2, 'Gastos e Ingresos 2030'!$A:$A, "&gt;="&amp;DATE(2030, 1, 1), 'Gastos e Ingresos 2030'!$A:$A, "&lt;"&amp;DATE(2030, 2, 1)), "")</f>
        <v/>
      </c>
      <c r="P3" s="78">
        <f>IF(COUNTIFS('Gastos e Ingresos 2030'!$A:$A, "&gt;="&amp;DATE(2030, 1, 1), 'Gastos e Ingresos 2030'!$A:$A, "&lt;"&amp;DATE(2030, 2, 1))&gt;0, SUMIFS('Gastos e Ingresos 2030'!$E:$E, 'Gastos e Ingresos 2030'!$D:$D, "Gasto", 'Gastos e Ingresos 2030'!$C:$C, P$2, 'Gastos e Ingresos 2030'!$A:$A, "&gt;="&amp;DATE(2030, 1, 1), 'Gastos e Ingresos 2030'!$A:$A, "&lt;"&amp;DATE(2030, 2, 1)), "")</f>
        <v/>
      </c>
      <c r="Q3" s="78">
        <f>IF(COUNTIFS('Gastos e Ingresos 2030'!$A:$A, "&gt;="&amp;DATE(2030, 1, 1), 'Gastos e Ingresos 2030'!$A:$A, "&lt;"&amp;DATE(2030, 2, 1))&gt;0, SUMIFS('Gastos e Ingresos 2030'!$E:$E, 'Gastos e Ingresos 2030'!$D:$D, "Gasto", 'Gastos e Ingresos 2030'!$C:$C, Q$2, 'Gastos e Ingresos 2030'!$A:$A, "&gt;="&amp;DATE(2030, 1, 1), 'Gastos e Ingresos 2030'!$A:$A, "&lt;"&amp;DATE(2030, 2, 1)), "")</f>
        <v/>
      </c>
      <c r="R3" s="78">
        <f>IF(COUNTIFS('Gastos e Ingresos 2030'!$A:$A, "&gt;="&amp;DATE(2030, 1, 1), 'Gastos e Ingresos 2030'!$A:$A, "&lt;"&amp;DATE(2030, 2, 1))&gt;0, SUMIFS('Gastos e Ingresos 2030'!$E:$E, 'Gastos e Ingresos 2030'!$D:$D, "Gasto", 'Gastos e Ingresos 2030'!$C:$C, R$2, 'Gastos e Ingresos 2030'!$A:$A, "&gt;="&amp;DATE(2030, 1, 1), 'Gastos e Ingresos 2030'!$A:$A, "&lt;"&amp;DATE(2030, 2, 1)), "")</f>
        <v/>
      </c>
    </row>
    <row r="4" ht="24" customHeight="1" s="18">
      <c r="A4" s="97" t="inlineStr">
        <is>
          <t>Febrero</t>
        </is>
      </c>
      <c r="B4" s="78">
        <f>IF(COUNTIFS('Gastos e Ingresos 2030'!$A:$A, "&gt;="&amp;DATE(2030, 2, 1), 'Gastos e Ingresos 2030'!$A:$A, "&lt;"&amp;DATE(2030, 3, 1))&gt;0, SUMIFS('Gastos e Ingresos 2030'!$E:$E, 'Gastos e Ingresos 2030'!$D:$D, "Ingreso", 'Gastos e Ingresos 2030'!$A:$A, "&gt;="&amp;DATE(2030, 2, 1), 'Gastos e Ingresos 2030'!$A:$A, "&lt;"&amp;DATE(2030, 3, 1)), "")</f>
        <v/>
      </c>
      <c r="C4" s="78">
        <f>IF(COUNTIFS('Gastos e Ingresos 2030'!$A:$A, "&gt;="&amp;DATE(2030, 2, 1), 'Gastos e Ingresos 2030'!$A:$A, "&lt;"&amp;DATE(2030, 3, 1))&gt;0, SUMIFS('Gastos e Ingresos 2030'!$E:$E, 'Gastos e Ingresos 2030'!$D:$D, "Gasto", 'Gastos e Ingresos 2030'!$A:$A, "&gt;="&amp;DATE(2030, 2, 1), 'Gastos e Ingresos 2030'!$A:$A, "&lt;"&amp;DATE(2030, 3, 1)), "")</f>
        <v/>
      </c>
      <c r="D4" s="83">
        <f>IF(B4="","",B4-C4)</f>
        <v/>
      </c>
      <c r="E4" s="98">
        <f>IF(B4="","",IF(B4&gt;0, D4/B4, 0))</f>
        <v/>
      </c>
      <c r="F4" s="75">
        <f>IF(COUNTIFS('Gastos e Ingresos 2030'!$A:$A, "&gt;="&amp;DATE(2030, 2, 1), 'Gastos e Ingresos 2030'!$A:$A, "&lt;"&amp;DATE(2030, 3, 1))&gt;0, SUMIFS('Gastos e Ingresos 2030'!$E:$E, 'Gastos e Ingresos 2030'!$D:$D, "Gasto", 'Gastos e Ingresos 2030'!$C:$C, F$2, 'Gastos e Ingresos 2030'!$A:$A, "&gt;="&amp;DATE(2030, 2, 1), 'Gastos e Ingresos 2030'!$A:$A, "&lt;"&amp;DATE(2030, 3, 1)), "")</f>
        <v/>
      </c>
      <c r="G4" s="75">
        <f>IF(COUNTIFS('Gastos e Ingresos 2030'!$A:$A, "&gt;="&amp;DATE(2030, 2, 1), 'Gastos e Ingresos 2030'!$A:$A, "&lt;"&amp;DATE(2030, 3, 1))&gt;0, SUMIFS('Gastos e Ingresos 2030'!$E:$E, 'Gastos e Ingresos 2030'!$D:$D, "Gasto", 'Gastos e Ingresos 2030'!$C:$C, G$2, 'Gastos e Ingresos 2030'!$A:$A, "&gt;="&amp;DATE(2030, 2, 1), 'Gastos e Ingresos 2030'!$A:$A, "&lt;"&amp;DATE(2030, 3, 1)), "")</f>
        <v/>
      </c>
      <c r="H4" s="75">
        <f>IF(COUNTIFS('Gastos e Ingresos 2030'!$A:$A, "&gt;="&amp;DATE(2030, 2, 1), 'Gastos e Ingresos 2030'!$A:$A, "&lt;"&amp;DATE(2030, 3, 1))&gt;0, SUMIFS('Gastos e Ingresos 2030'!$E:$E, 'Gastos e Ingresos 2030'!$D:$D, "Gasto", 'Gastos e Ingresos 2030'!$C:$C, H$2, 'Gastos e Ingresos 2030'!$A:$A, "&gt;="&amp;DATE(2030, 2, 1), 'Gastos e Ingresos 2030'!$A:$A, "&lt;"&amp;DATE(2030, 3, 1)), "")</f>
        <v/>
      </c>
      <c r="I4" s="75">
        <f>IF(COUNTIFS('Gastos e Ingresos 2030'!$A:$A, "&gt;="&amp;DATE(2030, 2, 1), 'Gastos e Ingresos 2030'!$A:$A, "&lt;"&amp;DATE(2030, 3, 1))&gt;0, SUMIFS('Gastos e Ingresos 2030'!$E:$E, 'Gastos e Ingresos 2030'!$D:$D, "Gasto", 'Gastos e Ingresos 2030'!$C:$C, I$2, 'Gastos e Ingresos 2030'!$A:$A, "&gt;="&amp;DATE(2030, 2, 1), 'Gastos e Ingresos 2030'!$A:$A, "&lt;"&amp;DATE(2030, 3, 1)), "")</f>
        <v/>
      </c>
      <c r="J4" s="75">
        <f>IF(COUNTIFS('Gastos e Ingresos 2030'!$A:$A, "&gt;="&amp;DATE(2030, 2, 1), 'Gastos e Ingresos 2030'!$A:$A, "&lt;"&amp;DATE(2030, 3, 1))&gt;0, SUMIFS('Gastos e Ingresos 2030'!$E:$E, 'Gastos e Ingresos 2030'!$D:$D, "Gasto", 'Gastos e Ingresos 2030'!$C:$C, J$2, 'Gastos e Ingresos 2030'!$A:$A, "&gt;="&amp;DATE(2030, 2, 1), 'Gastos e Ingresos 2030'!$A:$A, "&lt;"&amp;DATE(2030, 3, 1)), "")</f>
        <v/>
      </c>
      <c r="K4" s="75">
        <f>IF(COUNTIFS('Gastos e Ingresos 2030'!$A:$A, "&gt;="&amp;DATE(2030, 2, 1), 'Gastos e Ingresos 2030'!$A:$A, "&lt;"&amp;DATE(2030, 3, 1))&gt;0, SUMIFS('Gastos e Ingresos 2030'!$E:$E, 'Gastos e Ingresos 2030'!$D:$D, "Gasto", 'Gastos e Ingresos 2030'!$C:$C, K$2, 'Gastos e Ingresos 2030'!$A:$A, "&gt;="&amp;DATE(2030, 2, 1), 'Gastos e Ingresos 2030'!$A:$A, "&lt;"&amp;DATE(2030, 3, 1)), "")</f>
        <v/>
      </c>
      <c r="L4" s="75">
        <f>IF(COUNTIFS('Gastos e Ingresos 2030'!$A:$A, "&gt;="&amp;DATE(2030, 2, 1), 'Gastos e Ingresos 2030'!$A:$A, "&lt;"&amp;DATE(2030, 3, 1))&gt;0, SUMIFS('Gastos e Ingresos 2030'!$E:$E, 'Gastos e Ingresos 2030'!$D:$D, "Gasto", 'Gastos e Ingresos 2030'!$C:$C, L$2, 'Gastos e Ingresos 2030'!$A:$A, "&gt;="&amp;DATE(2030, 2, 1), 'Gastos e Ingresos 2030'!$A:$A, "&lt;"&amp;DATE(2030, 3, 1)), "")</f>
        <v/>
      </c>
      <c r="M4" s="75">
        <f>IF(COUNTIFS('Gastos e Ingresos 2030'!$A:$A, "&gt;="&amp;DATE(2030, 2, 1), 'Gastos e Ingresos 2030'!$A:$A, "&lt;"&amp;DATE(2030, 3, 1))&gt;0, SUMIFS('Gastos e Ingresos 2030'!$E:$E, 'Gastos e Ingresos 2030'!$D:$D, "Gasto", 'Gastos e Ingresos 2030'!$C:$C, M$2, 'Gastos e Ingresos 2030'!$A:$A, "&gt;="&amp;DATE(2030, 2, 1), 'Gastos e Ingresos 2030'!$A:$A, "&lt;"&amp;DATE(2030, 3, 1)), "")</f>
        <v/>
      </c>
      <c r="N4" s="75">
        <f>IF(COUNTIFS('Gastos e Ingresos 2030'!$A:$A, "&gt;="&amp;DATE(2030, 2, 1), 'Gastos e Ingresos 2030'!$A:$A, "&lt;"&amp;DATE(2030, 3, 1))&gt;0, SUMIFS('Gastos e Ingresos 2030'!$E:$E, 'Gastos e Ingresos 2030'!$D:$D, "Gasto", 'Gastos e Ingresos 2030'!$C:$C, N$2, 'Gastos e Ingresos 2030'!$A:$A, "&gt;="&amp;DATE(2030, 2, 1), 'Gastos e Ingresos 2030'!$A:$A, "&lt;"&amp;DATE(2030, 3, 1)), "")</f>
        <v/>
      </c>
      <c r="O4" s="75">
        <f>IF(COUNTIFS('Gastos e Ingresos 2030'!$A:$A, "&gt;="&amp;DATE(2030, 2, 1), 'Gastos e Ingresos 2030'!$A:$A, "&lt;"&amp;DATE(2030, 3, 1))&gt;0, SUMIFS('Gastos e Ingresos 2030'!$E:$E, 'Gastos e Ingresos 2030'!$D:$D, "Gasto", 'Gastos e Ingresos 2030'!$C:$C, O$2, 'Gastos e Ingresos 2030'!$A:$A, "&gt;="&amp;DATE(2030, 2, 1), 'Gastos e Ingresos 2030'!$A:$A, "&lt;"&amp;DATE(2030, 3, 1)), "")</f>
        <v/>
      </c>
      <c r="P4" s="75">
        <f>IF(COUNTIFS('Gastos e Ingresos 2030'!$A:$A, "&gt;="&amp;DATE(2030, 2, 1), 'Gastos e Ingresos 2030'!$A:$A, "&lt;"&amp;DATE(2030, 3, 1))&gt;0, SUMIFS('Gastos e Ingresos 2030'!$E:$E, 'Gastos e Ingresos 2030'!$D:$D, "Gasto", 'Gastos e Ingresos 2030'!$C:$C, P$2, 'Gastos e Ingresos 2030'!$A:$A, "&gt;="&amp;DATE(2030, 2, 1), 'Gastos e Ingresos 2030'!$A:$A, "&lt;"&amp;DATE(2030, 3, 1)), "")</f>
        <v/>
      </c>
      <c r="Q4" s="75">
        <f>IF(COUNTIFS('Gastos e Ingresos 2030'!$A:$A, "&gt;="&amp;DATE(2030, 2, 1), 'Gastos e Ingresos 2030'!$A:$A, "&lt;"&amp;DATE(2030, 3, 1))&gt;0, SUMIFS('Gastos e Ingresos 2030'!$E:$E, 'Gastos e Ingresos 2030'!$D:$D, "Gasto", 'Gastos e Ingresos 2030'!$C:$C, Q$2, 'Gastos e Ingresos 2030'!$A:$A, "&gt;="&amp;DATE(2030, 2, 1), 'Gastos e Ingresos 2030'!$A:$A, "&lt;"&amp;DATE(2030, 3, 1)), "")</f>
        <v/>
      </c>
      <c r="R4" s="75">
        <f>IF(COUNTIFS('Gastos e Ingresos 2030'!$A:$A, "&gt;="&amp;DATE(2030, 2, 1), 'Gastos e Ingresos 2030'!$A:$A, "&lt;"&amp;DATE(2030, 3, 1))&gt;0, SUMIFS('Gastos e Ingresos 2030'!$E:$E, 'Gastos e Ingresos 2030'!$D:$D, "Gasto", 'Gastos e Ingresos 2030'!$C:$C, R$2, 'Gastos e Ingresos 2030'!$A:$A, "&gt;="&amp;DATE(2030, 2, 1), 'Gastos e Ingresos 2030'!$A:$A, "&lt;"&amp;DATE(2030, 3, 1)), "")</f>
        <v/>
      </c>
    </row>
    <row r="5" ht="24" customHeight="1" s="18">
      <c r="A5" s="97" t="inlineStr">
        <is>
          <t>Marzo</t>
        </is>
      </c>
      <c r="B5" s="78">
        <f>IF(COUNTIFS('Gastos e Ingresos 2030'!$A:$A, "&gt;="&amp;DATE(2030, 3, 1), 'Gastos e Ingresos 2030'!$A:$A, "&lt;"&amp;DATE(2030, 4, 1))&gt;0, SUMIFS('Gastos e Ingresos 2030'!$E:$E, 'Gastos e Ingresos 2030'!$D:$D, "Ingreso", 'Gastos e Ingresos 2030'!$A:$A, "&gt;="&amp;DATE(2030, 3, 1), 'Gastos e Ingresos 2030'!$A:$A, "&lt;"&amp;DATE(2030, 4, 1)), "")</f>
        <v/>
      </c>
      <c r="C5" s="78">
        <f>IF(COUNTIFS('Gastos e Ingresos 2030'!$A:$A, "&gt;="&amp;DATE(2030, 3, 1), 'Gastos e Ingresos 2030'!$A:$A, "&lt;"&amp;DATE(2030, 4, 1))&gt;0, SUMIFS('Gastos e Ingresos 2030'!$E:$E, 'Gastos e Ingresos 2030'!$D:$D, "Gasto", 'Gastos e Ingresos 2030'!$A:$A, "&gt;="&amp;DATE(2030, 3, 1), 'Gastos e Ingresos 2030'!$A:$A, "&lt;"&amp;DATE(2030, 4, 1)), "")</f>
        <v/>
      </c>
      <c r="D5" s="83">
        <f>IF(B5="","",B5-C5)</f>
        <v/>
      </c>
      <c r="E5" s="98">
        <f>IF(B5="","",IF(B5&gt;0, D5/B5, 0))</f>
        <v/>
      </c>
      <c r="F5" s="78">
        <f>IF(COUNTIFS('Gastos e Ingresos 2030'!$A:$A, "&gt;="&amp;DATE(2030, 3, 1), 'Gastos e Ingresos 2030'!$A:$A, "&lt;"&amp;DATE(2030, 4, 1))&gt;0, SUMIFS('Gastos e Ingresos 2030'!$E:$E, 'Gastos e Ingresos 2030'!$D:$D, "Gasto", 'Gastos e Ingresos 2030'!$C:$C, F$2, 'Gastos e Ingresos 2030'!$A:$A, "&gt;="&amp;DATE(2030, 3, 1), 'Gastos e Ingresos 2030'!$A:$A, "&lt;"&amp;DATE(2030, 4, 1)), "")</f>
        <v/>
      </c>
      <c r="G5" s="78">
        <f>IF(COUNTIFS('Gastos e Ingresos 2030'!$A:$A, "&gt;="&amp;DATE(2030, 3, 1), 'Gastos e Ingresos 2030'!$A:$A, "&lt;"&amp;DATE(2030, 4, 1))&gt;0, SUMIFS('Gastos e Ingresos 2030'!$E:$E, 'Gastos e Ingresos 2030'!$D:$D, "Gasto", 'Gastos e Ingresos 2030'!$C:$C, G$2, 'Gastos e Ingresos 2030'!$A:$A, "&gt;="&amp;DATE(2030, 3, 1), 'Gastos e Ingresos 2030'!$A:$A, "&lt;"&amp;DATE(2030, 4, 1)), "")</f>
        <v/>
      </c>
      <c r="H5" s="78">
        <f>IF(COUNTIFS('Gastos e Ingresos 2030'!$A:$A, "&gt;="&amp;DATE(2030, 3, 1), 'Gastos e Ingresos 2030'!$A:$A, "&lt;"&amp;DATE(2030, 4, 1))&gt;0, SUMIFS('Gastos e Ingresos 2030'!$E:$E, 'Gastos e Ingresos 2030'!$D:$D, "Gasto", 'Gastos e Ingresos 2030'!$C:$C, H$2, 'Gastos e Ingresos 2030'!$A:$A, "&gt;="&amp;DATE(2030, 3, 1), 'Gastos e Ingresos 2030'!$A:$A, "&lt;"&amp;DATE(2030, 4, 1)), "")</f>
        <v/>
      </c>
      <c r="I5" s="78">
        <f>IF(COUNTIFS('Gastos e Ingresos 2030'!$A:$A, "&gt;="&amp;DATE(2030, 3, 1), 'Gastos e Ingresos 2030'!$A:$A, "&lt;"&amp;DATE(2030, 4, 1))&gt;0, SUMIFS('Gastos e Ingresos 2030'!$E:$E, 'Gastos e Ingresos 2030'!$D:$D, "Gasto", 'Gastos e Ingresos 2030'!$C:$C, I$2, 'Gastos e Ingresos 2030'!$A:$A, "&gt;="&amp;DATE(2030, 3, 1), 'Gastos e Ingresos 2030'!$A:$A, "&lt;"&amp;DATE(2030, 4, 1)), "")</f>
        <v/>
      </c>
      <c r="J5" s="78">
        <f>IF(COUNTIFS('Gastos e Ingresos 2030'!$A:$A, "&gt;="&amp;DATE(2030, 3, 1), 'Gastos e Ingresos 2030'!$A:$A, "&lt;"&amp;DATE(2030, 4, 1))&gt;0, SUMIFS('Gastos e Ingresos 2030'!$E:$E, 'Gastos e Ingresos 2030'!$D:$D, "Gasto", 'Gastos e Ingresos 2030'!$C:$C, J$2, 'Gastos e Ingresos 2030'!$A:$A, "&gt;="&amp;DATE(2030, 3, 1), 'Gastos e Ingresos 2030'!$A:$A, "&lt;"&amp;DATE(2030, 4, 1)), "")</f>
        <v/>
      </c>
      <c r="K5" s="78">
        <f>IF(COUNTIFS('Gastos e Ingresos 2030'!$A:$A, "&gt;="&amp;DATE(2030, 3, 1), 'Gastos e Ingresos 2030'!$A:$A, "&lt;"&amp;DATE(2030, 4, 1))&gt;0, SUMIFS('Gastos e Ingresos 2030'!$E:$E, 'Gastos e Ingresos 2030'!$D:$D, "Gasto", 'Gastos e Ingresos 2030'!$C:$C, K$2, 'Gastos e Ingresos 2030'!$A:$A, "&gt;="&amp;DATE(2030, 3, 1), 'Gastos e Ingresos 2030'!$A:$A, "&lt;"&amp;DATE(2030, 4, 1)), "")</f>
        <v/>
      </c>
      <c r="L5" s="78">
        <f>IF(COUNTIFS('Gastos e Ingresos 2030'!$A:$A, "&gt;="&amp;DATE(2030, 3, 1), 'Gastos e Ingresos 2030'!$A:$A, "&lt;"&amp;DATE(2030, 4, 1))&gt;0, SUMIFS('Gastos e Ingresos 2030'!$E:$E, 'Gastos e Ingresos 2030'!$D:$D, "Gasto", 'Gastos e Ingresos 2030'!$C:$C, L$2, 'Gastos e Ingresos 2030'!$A:$A, "&gt;="&amp;DATE(2030, 3, 1), 'Gastos e Ingresos 2030'!$A:$A, "&lt;"&amp;DATE(2030, 4, 1)), "")</f>
        <v/>
      </c>
      <c r="M5" s="78">
        <f>IF(COUNTIFS('Gastos e Ingresos 2030'!$A:$A, "&gt;="&amp;DATE(2030, 3, 1), 'Gastos e Ingresos 2030'!$A:$A, "&lt;"&amp;DATE(2030, 4, 1))&gt;0, SUMIFS('Gastos e Ingresos 2030'!$E:$E, 'Gastos e Ingresos 2030'!$D:$D, "Gasto", 'Gastos e Ingresos 2030'!$C:$C, M$2, 'Gastos e Ingresos 2030'!$A:$A, "&gt;="&amp;DATE(2030, 3, 1), 'Gastos e Ingresos 2030'!$A:$A, "&lt;"&amp;DATE(2030, 4, 1)), "")</f>
        <v/>
      </c>
      <c r="N5" s="78">
        <f>IF(COUNTIFS('Gastos e Ingresos 2030'!$A:$A, "&gt;="&amp;DATE(2030, 3, 1), 'Gastos e Ingresos 2030'!$A:$A, "&lt;"&amp;DATE(2030, 4, 1))&gt;0, SUMIFS('Gastos e Ingresos 2030'!$E:$E, 'Gastos e Ingresos 2030'!$D:$D, "Gasto", 'Gastos e Ingresos 2030'!$C:$C, N$2, 'Gastos e Ingresos 2030'!$A:$A, "&gt;="&amp;DATE(2030, 3, 1), 'Gastos e Ingresos 2030'!$A:$A, "&lt;"&amp;DATE(2030, 4, 1)), "")</f>
        <v/>
      </c>
      <c r="O5" s="78">
        <f>IF(COUNTIFS('Gastos e Ingresos 2030'!$A:$A, "&gt;="&amp;DATE(2030, 3, 1), 'Gastos e Ingresos 2030'!$A:$A, "&lt;"&amp;DATE(2030, 4, 1))&gt;0, SUMIFS('Gastos e Ingresos 2030'!$E:$E, 'Gastos e Ingresos 2030'!$D:$D, "Gasto", 'Gastos e Ingresos 2030'!$C:$C, O$2, 'Gastos e Ingresos 2030'!$A:$A, "&gt;="&amp;DATE(2030, 3, 1), 'Gastos e Ingresos 2030'!$A:$A, "&lt;"&amp;DATE(2030, 4, 1)), "")</f>
        <v/>
      </c>
      <c r="P5" s="78">
        <f>IF(COUNTIFS('Gastos e Ingresos 2030'!$A:$A, "&gt;="&amp;DATE(2030, 3, 1), 'Gastos e Ingresos 2030'!$A:$A, "&lt;"&amp;DATE(2030, 4, 1))&gt;0, SUMIFS('Gastos e Ingresos 2030'!$E:$E, 'Gastos e Ingresos 2030'!$D:$D, "Gasto", 'Gastos e Ingresos 2030'!$C:$C, P$2, 'Gastos e Ingresos 2030'!$A:$A, "&gt;="&amp;DATE(2030, 3, 1), 'Gastos e Ingresos 2030'!$A:$A, "&lt;"&amp;DATE(2030, 4, 1)), "")</f>
        <v/>
      </c>
      <c r="Q5" s="78">
        <f>IF(COUNTIFS('Gastos e Ingresos 2030'!$A:$A, "&gt;="&amp;DATE(2030, 3, 1), 'Gastos e Ingresos 2030'!$A:$A, "&lt;"&amp;DATE(2030, 4, 1))&gt;0, SUMIFS('Gastos e Ingresos 2030'!$E:$E, 'Gastos e Ingresos 2030'!$D:$D, "Gasto", 'Gastos e Ingresos 2030'!$C:$C, Q$2, 'Gastos e Ingresos 2030'!$A:$A, "&gt;="&amp;DATE(2030, 3, 1), 'Gastos e Ingresos 2030'!$A:$A, "&lt;"&amp;DATE(2030, 4, 1)), "")</f>
        <v/>
      </c>
      <c r="R5" s="78">
        <f>IF(COUNTIFS('Gastos e Ingresos 2030'!$A:$A, "&gt;="&amp;DATE(2030, 3, 1), 'Gastos e Ingresos 2030'!$A:$A, "&lt;"&amp;DATE(2030, 4, 1))&gt;0, SUMIFS('Gastos e Ingresos 2030'!$E:$E, 'Gastos e Ingresos 2030'!$D:$D, "Gasto", 'Gastos e Ingresos 2030'!$C:$C, R$2, 'Gastos e Ingresos 2030'!$A:$A, "&gt;="&amp;DATE(2030, 3, 1), 'Gastos e Ingresos 2030'!$A:$A, "&lt;"&amp;DATE(2030, 4, 1)), "")</f>
        <v/>
      </c>
    </row>
    <row r="6" ht="24" customHeight="1" s="18">
      <c r="A6" s="97" t="inlineStr">
        <is>
          <t>Abril</t>
        </is>
      </c>
      <c r="B6" s="78">
        <f>IF(COUNTIFS('Gastos e Ingresos 2030'!$A:$A, "&gt;="&amp;DATE(2030, 4, 1), 'Gastos e Ingresos 2030'!$A:$A, "&lt;"&amp;DATE(2030, 5, 1))&gt;0, SUMIFS('Gastos e Ingresos 2030'!$E:$E, 'Gastos e Ingresos 2030'!$D:$D, "Ingreso", 'Gastos e Ingresos 2030'!$A:$A, "&gt;="&amp;DATE(2030, 4, 1), 'Gastos e Ingresos 2030'!$A:$A, "&lt;"&amp;DATE(2030, 5, 1)), "")</f>
        <v/>
      </c>
      <c r="C6" s="78">
        <f>IF(COUNTIFS('Gastos e Ingresos 2030'!$A:$A, "&gt;="&amp;DATE(2030, 4, 1), 'Gastos e Ingresos 2030'!$A:$A, "&lt;"&amp;DATE(2030, 5, 1))&gt;0, SUMIFS('Gastos e Ingresos 2030'!$E:$E, 'Gastos e Ingresos 2030'!$D:$D, "Gasto", 'Gastos e Ingresos 2030'!$A:$A, "&gt;="&amp;DATE(2030, 4, 1), 'Gastos e Ingresos 2030'!$A:$A, "&lt;"&amp;DATE(2030, 5, 1)), "")</f>
        <v/>
      </c>
      <c r="D6" s="83">
        <f>IF(B6="","",B6-C6)</f>
        <v/>
      </c>
      <c r="E6" s="98">
        <f>IF(B6="","",IF(B6&gt;0, D6/B6, 0))</f>
        <v/>
      </c>
      <c r="F6" s="75">
        <f>IF(COUNTIFS('Gastos e Ingresos 2030'!$A:$A, "&gt;="&amp;DATE(2030, 4, 1), 'Gastos e Ingresos 2030'!$A:$A, "&lt;"&amp;DATE(2030, 5, 1))&gt;0, SUMIFS('Gastos e Ingresos 2030'!$E:$E, 'Gastos e Ingresos 2030'!$D:$D, "Gasto", 'Gastos e Ingresos 2030'!$C:$C, F$2, 'Gastos e Ingresos 2030'!$A:$A, "&gt;="&amp;DATE(2030, 4, 1), 'Gastos e Ingresos 2030'!$A:$A, "&lt;"&amp;DATE(2030, 5, 1)), "")</f>
        <v/>
      </c>
      <c r="G6" s="75">
        <f>IF(COUNTIFS('Gastos e Ingresos 2030'!$A:$A, "&gt;="&amp;DATE(2030, 4, 1), 'Gastos e Ingresos 2030'!$A:$A, "&lt;"&amp;DATE(2030, 5, 1))&gt;0, SUMIFS('Gastos e Ingresos 2030'!$E:$E, 'Gastos e Ingresos 2030'!$D:$D, "Gasto", 'Gastos e Ingresos 2030'!$C:$C, G$2, 'Gastos e Ingresos 2030'!$A:$A, "&gt;="&amp;DATE(2030, 4, 1), 'Gastos e Ingresos 2030'!$A:$A, "&lt;"&amp;DATE(2030, 5, 1)), "")</f>
        <v/>
      </c>
      <c r="H6" s="75">
        <f>IF(COUNTIFS('Gastos e Ingresos 2030'!$A:$A, "&gt;="&amp;DATE(2030, 4, 1), 'Gastos e Ingresos 2030'!$A:$A, "&lt;"&amp;DATE(2030, 5, 1))&gt;0, SUMIFS('Gastos e Ingresos 2030'!$E:$E, 'Gastos e Ingresos 2030'!$D:$D, "Gasto", 'Gastos e Ingresos 2030'!$C:$C, H$2, 'Gastos e Ingresos 2030'!$A:$A, "&gt;="&amp;DATE(2030, 4, 1), 'Gastos e Ingresos 2030'!$A:$A, "&lt;"&amp;DATE(2030, 5, 1)), "")</f>
        <v/>
      </c>
      <c r="I6" s="75">
        <f>IF(COUNTIFS('Gastos e Ingresos 2030'!$A:$A, "&gt;="&amp;DATE(2030, 4, 1), 'Gastos e Ingresos 2030'!$A:$A, "&lt;"&amp;DATE(2030, 5, 1))&gt;0, SUMIFS('Gastos e Ingresos 2030'!$E:$E, 'Gastos e Ingresos 2030'!$D:$D, "Gasto", 'Gastos e Ingresos 2030'!$C:$C, I$2, 'Gastos e Ingresos 2030'!$A:$A, "&gt;="&amp;DATE(2030, 4, 1), 'Gastos e Ingresos 2030'!$A:$A, "&lt;"&amp;DATE(2030, 5, 1)), "")</f>
        <v/>
      </c>
      <c r="J6" s="75">
        <f>IF(COUNTIFS('Gastos e Ingresos 2030'!$A:$A, "&gt;="&amp;DATE(2030, 4, 1), 'Gastos e Ingresos 2030'!$A:$A, "&lt;"&amp;DATE(2030, 5, 1))&gt;0, SUMIFS('Gastos e Ingresos 2030'!$E:$E, 'Gastos e Ingresos 2030'!$D:$D, "Gasto", 'Gastos e Ingresos 2030'!$C:$C, J$2, 'Gastos e Ingresos 2030'!$A:$A, "&gt;="&amp;DATE(2030, 4, 1), 'Gastos e Ingresos 2030'!$A:$A, "&lt;"&amp;DATE(2030, 5, 1)), "")</f>
        <v/>
      </c>
      <c r="K6" s="75">
        <f>IF(COUNTIFS('Gastos e Ingresos 2030'!$A:$A, "&gt;="&amp;DATE(2030, 4, 1), 'Gastos e Ingresos 2030'!$A:$A, "&lt;"&amp;DATE(2030, 5, 1))&gt;0, SUMIFS('Gastos e Ingresos 2030'!$E:$E, 'Gastos e Ingresos 2030'!$D:$D, "Gasto", 'Gastos e Ingresos 2030'!$C:$C, K$2, 'Gastos e Ingresos 2030'!$A:$A, "&gt;="&amp;DATE(2030, 4, 1), 'Gastos e Ingresos 2030'!$A:$A, "&lt;"&amp;DATE(2030, 5, 1)), "")</f>
        <v/>
      </c>
      <c r="L6" s="75">
        <f>IF(COUNTIFS('Gastos e Ingresos 2030'!$A:$A, "&gt;="&amp;DATE(2030, 4, 1), 'Gastos e Ingresos 2030'!$A:$A, "&lt;"&amp;DATE(2030, 5, 1))&gt;0, SUMIFS('Gastos e Ingresos 2030'!$E:$E, 'Gastos e Ingresos 2030'!$D:$D, "Gasto", 'Gastos e Ingresos 2030'!$C:$C, L$2, 'Gastos e Ingresos 2030'!$A:$A, "&gt;="&amp;DATE(2030, 4, 1), 'Gastos e Ingresos 2030'!$A:$A, "&lt;"&amp;DATE(2030, 5, 1)), "")</f>
        <v/>
      </c>
      <c r="M6" s="75">
        <f>IF(COUNTIFS('Gastos e Ingresos 2030'!$A:$A, "&gt;="&amp;DATE(2030, 4, 1), 'Gastos e Ingresos 2030'!$A:$A, "&lt;"&amp;DATE(2030, 5, 1))&gt;0, SUMIFS('Gastos e Ingresos 2030'!$E:$E, 'Gastos e Ingresos 2030'!$D:$D, "Gasto", 'Gastos e Ingresos 2030'!$C:$C, M$2, 'Gastos e Ingresos 2030'!$A:$A, "&gt;="&amp;DATE(2030, 4, 1), 'Gastos e Ingresos 2030'!$A:$A, "&lt;"&amp;DATE(2030, 5, 1)), "")</f>
        <v/>
      </c>
      <c r="N6" s="75">
        <f>IF(COUNTIFS('Gastos e Ingresos 2030'!$A:$A, "&gt;="&amp;DATE(2030, 4, 1), 'Gastos e Ingresos 2030'!$A:$A, "&lt;"&amp;DATE(2030, 5, 1))&gt;0, SUMIFS('Gastos e Ingresos 2030'!$E:$E, 'Gastos e Ingresos 2030'!$D:$D, "Gasto", 'Gastos e Ingresos 2030'!$C:$C, N$2, 'Gastos e Ingresos 2030'!$A:$A, "&gt;="&amp;DATE(2030, 4, 1), 'Gastos e Ingresos 2030'!$A:$A, "&lt;"&amp;DATE(2030, 5, 1)), "")</f>
        <v/>
      </c>
      <c r="O6" s="75">
        <f>IF(COUNTIFS('Gastos e Ingresos 2030'!$A:$A, "&gt;="&amp;DATE(2030, 4, 1), 'Gastos e Ingresos 2030'!$A:$A, "&lt;"&amp;DATE(2030, 5, 1))&gt;0, SUMIFS('Gastos e Ingresos 2030'!$E:$E, 'Gastos e Ingresos 2030'!$D:$D, "Gasto", 'Gastos e Ingresos 2030'!$C:$C, O$2, 'Gastos e Ingresos 2030'!$A:$A, "&gt;="&amp;DATE(2030, 4, 1), 'Gastos e Ingresos 2030'!$A:$A, "&lt;"&amp;DATE(2030, 5, 1)), "")</f>
        <v/>
      </c>
      <c r="P6" s="75">
        <f>IF(COUNTIFS('Gastos e Ingresos 2030'!$A:$A, "&gt;="&amp;DATE(2030, 4, 1), 'Gastos e Ingresos 2030'!$A:$A, "&lt;"&amp;DATE(2030, 5, 1))&gt;0, SUMIFS('Gastos e Ingresos 2030'!$E:$E, 'Gastos e Ingresos 2030'!$D:$D, "Gasto", 'Gastos e Ingresos 2030'!$C:$C, P$2, 'Gastos e Ingresos 2030'!$A:$A, "&gt;="&amp;DATE(2030, 4, 1), 'Gastos e Ingresos 2030'!$A:$A, "&lt;"&amp;DATE(2030, 5, 1)), "")</f>
        <v/>
      </c>
      <c r="Q6" s="75">
        <f>IF(COUNTIFS('Gastos e Ingresos 2030'!$A:$A, "&gt;="&amp;DATE(2030, 4, 1), 'Gastos e Ingresos 2030'!$A:$A, "&lt;"&amp;DATE(2030, 5, 1))&gt;0, SUMIFS('Gastos e Ingresos 2030'!$E:$E, 'Gastos e Ingresos 2030'!$D:$D, "Gasto", 'Gastos e Ingresos 2030'!$C:$C, Q$2, 'Gastos e Ingresos 2030'!$A:$A, "&gt;="&amp;DATE(2030, 4, 1), 'Gastos e Ingresos 2030'!$A:$A, "&lt;"&amp;DATE(2030, 5, 1)), "")</f>
        <v/>
      </c>
      <c r="R6" s="75">
        <f>IF(COUNTIFS('Gastos e Ingresos 2030'!$A:$A, "&gt;="&amp;DATE(2030, 4, 1), 'Gastos e Ingresos 2030'!$A:$A, "&lt;"&amp;DATE(2030, 5, 1))&gt;0, SUMIFS('Gastos e Ingresos 2030'!$E:$E, 'Gastos e Ingresos 2030'!$D:$D, "Gasto", 'Gastos e Ingresos 2030'!$C:$C, R$2, 'Gastos e Ingresos 2030'!$A:$A, "&gt;="&amp;DATE(2030, 4, 1), 'Gastos e Ingresos 2030'!$A:$A, "&lt;"&amp;DATE(2030, 5, 1)), "")</f>
        <v/>
      </c>
    </row>
    <row r="7" ht="24" customHeight="1" s="18">
      <c r="A7" s="97" t="inlineStr">
        <is>
          <t>Mayo</t>
        </is>
      </c>
      <c r="B7" s="78">
        <f>IF(COUNTIFS('Gastos e Ingresos 2030'!$A:$A, "&gt;="&amp;DATE(2030, 5, 1), 'Gastos e Ingresos 2030'!$A:$A, "&lt;"&amp;DATE(2030, 6, 1))&gt;0, SUMIFS('Gastos e Ingresos 2030'!$E:$E, 'Gastos e Ingresos 2030'!$D:$D, "Ingreso", 'Gastos e Ingresos 2030'!$A:$A, "&gt;="&amp;DATE(2030, 5, 1), 'Gastos e Ingresos 2030'!$A:$A, "&lt;"&amp;DATE(2030, 6, 1)), "")</f>
        <v/>
      </c>
      <c r="C7" s="78">
        <f>IF(COUNTIFS('Gastos e Ingresos 2030'!$A:$A, "&gt;="&amp;DATE(2030, 5, 1), 'Gastos e Ingresos 2030'!$A:$A, "&lt;"&amp;DATE(2030, 6, 1))&gt;0, SUMIFS('Gastos e Ingresos 2030'!$E:$E, 'Gastos e Ingresos 2030'!$D:$D, "Gasto", 'Gastos e Ingresos 2030'!$A:$A, "&gt;="&amp;DATE(2030, 5, 1), 'Gastos e Ingresos 2030'!$A:$A, "&lt;"&amp;DATE(2030, 6, 1)), "")</f>
        <v/>
      </c>
      <c r="D7" s="83">
        <f>IF(B7="","",B7-C7)</f>
        <v/>
      </c>
      <c r="E7" s="98">
        <f>IF(B7="","",IF(B7&gt;0, D7/B7, 0))</f>
        <v/>
      </c>
      <c r="F7" s="78">
        <f>IF(COUNTIFS('Gastos e Ingresos 2030'!$A:$A, "&gt;="&amp;DATE(2030, 5, 1), 'Gastos e Ingresos 2030'!$A:$A, "&lt;"&amp;DATE(2030, 6, 1))&gt;0, SUMIFS('Gastos e Ingresos 2030'!$E:$E, 'Gastos e Ingresos 2030'!$D:$D, "Gasto", 'Gastos e Ingresos 2030'!$C:$C, F$2, 'Gastos e Ingresos 2030'!$A:$A, "&gt;="&amp;DATE(2030, 5, 1), 'Gastos e Ingresos 2030'!$A:$A, "&lt;"&amp;DATE(2030, 6, 1)), "")</f>
        <v/>
      </c>
      <c r="G7" s="78">
        <f>IF(COUNTIFS('Gastos e Ingresos 2030'!$A:$A, "&gt;="&amp;DATE(2030, 5, 1), 'Gastos e Ingresos 2030'!$A:$A, "&lt;"&amp;DATE(2030, 6, 1))&gt;0, SUMIFS('Gastos e Ingresos 2030'!$E:$E, 'Gastos e Ingresos 2030'!$D:$D, "Gasto", 'Gastos e Ingresos 2030'!$C:$C, G$2, 'Gastos e Ingresos 2030'!$A:$A, "&gt;="&amp;DATE(2030, 5, 1), 'Gastos e Ingresos 2030'!$A:$A, "&lt;"&amp;DATE(2030, 6, 1)), "")</f>
        <v/>
      </c>
      <c r="H7" s="78">
        <f>IF(COUNTIFS('Gastos e Ingresos 2030'!$A:$A, "&gt;="&amp;DATE(2030, 5, 1), 'Gastos e Ingresos 2030'!$A:$A, "&lt;"&amp;DATE(2030, 6, 1))&gt;0, SUMIFS('Gastos e Ingresos 2030'!$E:$E, 'Gastos e Ingresos 2030'!$D:$D, "Gasto", 'Gastos e Ingresos 2030'!$C:$C, H$2, 'Gastos e Ingresos 2030'!$A:$A, "&gt;="&amp;DATE(2030, 5, 1), 'Gastos e Ingresos 2030'!$A:$A, "&lt;"&amp;DATE(2030, 6, 1)), "")</f>
        <v/>
      </c>
      <c r="I7" s="78">
        <f>IF(COUNTIFS('Gastos e Ingresos 2030'!$A:$A, "&gt;="&amp;DATE(2030, 5, 1), 'Gastos e Ingresos 2030'!$A:$A, "&lt;"&amp;DATE(2030, 6, 1))&gt;0, SUMIFS('Gastos e Ingresos 2030'!$E:$E, 'Gastos e Ingresos 2030'!$D:$D, "Gasto", 'Gastos e Ingresos 2030'!$C:$C, I$2, 'Gastos e Ingresos 2030'!$A:$A, "&gt;="&amp;DATE(2030, 5, 1), 'Gastos e Ingresos 2030'!$A:$A, "&lt;"&amp;DATE(2030, 6, 1)), "")</f>
        <v/>
      </c>
      <c r="J7" s="78">
        <f>IF(COUNTIFS('Gastos e Ingresos 2030'!$A:$A, "&gt;="&amp;DATE(2030, 5, 1), 'Gastos e Ingresos 2030'!$A:$A, "&lt;"&amp;DATE(2030, 6, 1))&gt;0, SUMIFS('Gastos e Ingresos 2030'!$E:$E, 'Gastos e Ingresos 2030'!$D:$D, "Gasto", 'Gastos e Ingresos 2030'!$C:$C, J$2, 'Gastos e Ingresos 2030'!$A:$A, "&gt;="&amp;DATE(2030, 5, 1), 'Gastos e Ingresos 2030'!$A:$A, "&lt;"&amp;DATE(2030, 6, 1)), "")</f>
        <v/>
      </c>
      <c r="K7" s="78">
        <f>IF(COUNTIFS('Gastos e Ingresos 2030'!$A:$A, "&gt;="&amp;DATE(2030, 5, 1), 'Gastos e Ingresos 2030'!$A:$A, "&lt;"&amp;DATE(2030, 6, 1))&gt;0, SUMIFS('Gastos e Ingresos 2030'!$E:$E, 'Gastos e Ingresos 2030'!$D:$D, "Gasto", 'Gastos e Ingresos 2030'!$C:$C, K$2, 'Gastos e Ingresos 2030'!$A:$A, "&gt;="&amp;DATE(2030, 5, 1), 'Gastos e Ingresos 2030'!$A:$A, "&lt;"&amp;DATE(2030, 6, 1)), "")</f>
        <v/>
      </c>
      <c r="L7" s="78">
        <f>IF(COUNTIFS('Gastos e Ingresos 2030'!$A:$A, "&gt;="&amp;DATE(2030, 5, 1), 'Gastos e Ingresos 2030'!$A:$A, "&lt;"&amp;DATE(2030, 6, 1))&gt;0, SUMIFS('Gastos e Ingresos 2030'!$E:$E, 'Gastos e Ingresos 2030'!$D:$D, "Gasto", 'Gastos e Ingresos 2030'!$C:$C, L$2, 'Gastos e Ingresos 2030'!$A:$A, "&gt;="&amp;DATE(2030, 5, 1), 'Gastos e Ingresos 2030'!$A:$A, "&lt;"&amp;DATE(2030, 6, 1)), "")</f>
        <v/>
      </c>
      <c r="M7" s="78">
        <f>IF(COUNTIFS('Gastos e Ingresos 2030'!$A:$A, "&gt;="&amp;DATE(2030, 5, 1), 'Gastos e Ingresos 2030'!$A:$A, "&lt;"&amp;DATE(2030, 6, 1))&gt;0, SUMIFS('Gastos e Ingresos 2030'!$E:$E, 'Gastos e Ingresos 2030'!$D:$D, "Gasto", 'Gastos e Ingresos 2030'!$C:$C, M$2, 'Gastos e Ingresos 2030'!$A:$A, "&gt;="&amp;DATE(2030, 5, 1), 'Gastos e Ingresos 2030'!$A:$A, "&lt;"&amp;DATE(2030, 6, 1)), "")</f>
        <v/>
      </c>
      <c r="N7" s="78">
        <f>IF(COUNTIFS('Gastos e Ingresos 2030'!$A:$A, "&gt;="&amp;DATE(2030, 5, 1), 'Gastos e Ingresos 2030'!$A:$A, "&lt;"&amp;DATE(2030, 6, 1))&gt;0, SUMIFS('Gastos e Ingresos 2030'!$E:$E, 'Gastos e Ingresos 2030'!$D:$D, "Gasto", 'Gastos e Ingresos 2030'!$C:$C, N$2, 'Gastos e Ingresos 2030'!$A:$A, "&gt;="&amp;DATE(2030, 5, 1), 'Gastos e Ingresos 2030'!$A:$A, "&lt;"&amp;DATE(2030, 6, 1)), "")</f>
        <v/>
      </c>
      <c r="O7" s="78">
        <f>IF(COUNTIFS('Gastos e Ingresos 2030'!$A:$A, "&gt;="&amp;DATE(2030, 5, 1), 'Gastos e Ingresos 2030'!$A:$A, "&lt;"&amp;DATE(2030, 6, 1))&gt;0, SUMIFS('Gastos e Ingresos 2030'!$E:$E, 'Gastos e Ingresos 2030'!$D:$D, "Gasto", 'Gastos e Ingresos 2030'!$C:$C, O$2, 'Gastos e Ingresos 2030'!$A:$A, "&gt;="&amp;DATE(2030, 5, 1), 'Gastos e Ingresos 2030'!$A:$A, "&lt;"&amp;DATE(2030, 6, 1)), "")</f>
        <v/>
      </c>
      <c r="P7" s="78">
        <f>IF(COUNTIFS('Gastos e Ingresos 2030'!$A:$A, "&gt;="&amp;DATE(2030, 5, 1), 'Gastos e Ingresos 2030'!$A:$A, "&lt;"&amp;DATE(2030, 6, 1))&gt;0, SUMIFS('Gastos e Ingresos 2030'!$E:$E, 'Gastos e Ingresos 2030'!$D:$D, "Gasto", 'Gastos e Ingresos 2030'!$C:$C, P$2, 'Gastos e Ingresos 2030'!$A:$A, "&gt;="&amp;DATE(2030, 5, 1), 'Gastos e Ingresos 2030'!$A:$A, "&lt;"&amp;DATE(2030, 6, 1)), "")</f>
        <v/>
      </c>
      <c r="Q7" s="78">
        <f>IF(COUNTIFS('Gastos e Ingresos 2030'!$A:$A, "&gt;="&amp;DATE(2030, 5, 1), 'Gastos e Ingresos 2030'!$A:$A, "&lt;"&amp;DATE(2030, 6, 1))&gt;0, SUMIFS('Gastos e Ingresos 2030'!$E:$E, 'Gastos e Ingresos 2030'!$D:$D, "Gasto", 'Gastos e Ingresos 2030'!$C:$C, Q$2, 'Gastos e Ingresos 2030'!$A:$A, "&gt;="&amp;DATE(2030, 5, 1), 'Gastos e Ingresos 2030'!$A:$A, "&lt;"&amp;DATE(2030, 6, 1)), "")</f>
        <v/>
      </c>
      <c r="R7" s="78">
        <f>IF(COUNTIFS('Gastos e Ingresos 2030'!$A:$A, "&gt;="&amp;DATE(2030, 5, 1), 'Gastos e Ingresos 2030'!$A:$A, "&lt;"&amp;DATE(2030, 6, 1))&gt;0, SUMIFS('Gastos e Ingresos 2030'!$E:$E, 'Gastos e Ingresos 2030'!$D:$D, "Gasto", 'Gastos e Ingresos 2030'!$C:$C, R$2, 'Gastos e Ingresos 2030'!$A:$A, "&gt;="&amp;DATE(2030, 5, 1), 'Gastos e Ingresos 2030'!$A:$A, "&lt;"&amp;DATE(2030, 6, 1)), "")</f>
        <v/>
      </c>
    </row>
    <row r="8" ht="24" customHeight="1" s="18">
      <c r="A8" s="97" t="inlineStr">
        <is>
          <t>Junio</t>
        </is>
      </c>
      <c r="B8" s="78">
        <f>IF(COUNTIFS('Gastos e Ingresos 2030'!$A:$A, "&gt;="&amp;DATE(2030, 6, 1), 'Gastos e Ingresos 2030'!$A:$A, "&lt;"&amp;DATE(2030, 7, 1))&gt;0, SUMIFS('Gastos e Ingresos 2030'!$E:$E, 'Gastos e Ingresos 2030'!$D:$D, "Ingreso", 'Gastos e Ingresos 2030'!$A:$A, "&gt;="&amp;DATE(2030, 6, 1), 'Gastos e Ingresos 2030'!$A:$A, "&lt;"&amp;DATE(2030, 7, 1)), "")</f>
        <v/>
      </c>
      <c r="C8" s="78">
        <f>IF(COUNTIFS('Gastos e Ingresos 2030'!$A:$A, "&gt;="&amp;DATE(2030, 6, 1), 'Gastos e Ingresos 2030'!$A:$A, "&lt;"&amp;DATE(2030, 7, 1))&gt;0, SUMIFS('Gastos e Ingresos 2030'!$E:$E, 'Gastos e Ingresos 2030'!$D:$D, "Gasto", 'Gastos e Ingresos 2030'!$A:$A, "&gt;="&amp;DATE(2030, 6, 1), 'Gastos e Ingresos 2030'!$A:$A, "&lt;"&amp;DATE(2030, 7, 1)), "")</f>
        <v/>
      </c>
      <c r="D8" s="83">
        <f>IF(B8="","",B8-C8)</f>
        <v/>
      </c>
      <c r="E8" s="98">
        <f>IF(B8="","",IF(B8&gt;0, D8/B8, 0))</f>
        <v/>
      </c>
      <c r="F8" s="75">
        <f>IF(COUNTIFS('Gastos e Ingresos 2030'!$A:$A, "&gt;="&amp;DATE(2030, 6, 1), 'Gastos e Ingresos 2030'!$A:$A, "&lt;"&amp;DATE(2030, 7, 1))&gt;0, SUMIFS('Gastos e Ingresos 2030'!$E:$E, 'Gastos e Ingresos 2030'!$D:$D, "Gasto", 'Gastos e Ingresos 2030'!$C:$C, F$2, 'Gastos e Ingresos 2030'!$A:$A, "&gt;="&amp;DATE(2030, 6, 1), 'Gastos e Ingresos 2030'!$A:$A, "&lt;"&amp;DATE(2030, 7, 1)), "")</f>
        <v/>
      </c>
      <c r="G8" s="75">
        <f>IF(COUNTIFS('Gastos e Ingresos 2030'!$A:$A, "&gt;="&amp;DATE(2030, 6, 1), 'Gastos e Ingresos 2030'!$A:$A, "&lt;"&amp;DATE(2030, 7, 1))&gt;0, SUMIFS('Gastos e Ingresos 2030'!$E:$E, 'Gastos e Ingresos 2030'!$D:$D, "Gasto", 'Gastos e Ingresos 2030'!$C:$C, G$2, 'Gastos e Ingresos 2030'!$A:$A, "&gt;="&amp;DATE(2030, 6, 1), 'Gastos e Ingresos 2030'!$A:$A, "&lt;"&amp;DATE(2030, 7, 1)), "")</f>
        <v/>
      </c>
      <c r="H8" s="75">
        <f>IF(COUNTIFS('Gastos e Ingresos 2030'!$A:$A, "&gt;="&amp;DATE(2030, 6, 1), 'Gastos e Ingresos 2030'!$A:$A, "&lt;"&amp;DATE(2030, 7, 1))&gt;0, SUMIFS('Gastos e Ingresos 2030'!$E:$E, 'Gastos e Ingresos 2030'!$D:$D, "Gasto", 'Gastos e Ingresos 2030'!$C:$C, H$2, 'Gastos e Ingresos 2030'!$A:$A, "&gt;="&amp;DATE(2030, 6, 1), 'Gastos e Ingresos 2030'!$A:$A, "&lt;"&amp;DATE(2030, 7, 1)), "")</f>
        <v/>
      </c>
      <c r="I8" s="75">
        <f>IF(COUNTIFS('Gastos e Ingresos 2030'!$A:$A, "&gt;="&amp;DATE(2030, 6, 1), 'Gastos e Ingresos 2030'!$A:$A, "&lt;"&amp;DATE(2030, 7, 1))&gt;0, SUMIFS('Gastos e Ingresos 2030'!$E:$E, 'Gastos e Ingresos 2030'!$D:$D, "Gasto", 'Gastos e Ingresos 2030'!$C:$C, I$2, 'Gastos e Ingresos 2030'!$A:$A, "&gt;="&amp;DATE(2030, 6, 1), 'Gastos e Ingresos 2030'!$A:$A, "&lt;"&amp;DATE(2030, 7, 1)), "")</f>
        <v/>
      </c>
      <c r="J8" s="75">
        <f>IF(COUNTIFS('Gastos e Ingresos 2030'!$A:$A, "&gt;="&amp;DATE(2030, 6, 1), 'Gastos e Ingresos 2030'!$A:$A, "&lt;"&amp;DATE(2030, 7, 1))&gt;0, SUMIFS('Gastos e Ingresos 2030'!$E:$E, 'Gastos e Ingresos 2030'!$D:$D, "Gasto", 'Gastos e Ingresos 2030'!$C:$C, J$2, 'Gastos e Ingresos 2030'!$A:$A, "&gt;="&amp;DATE(2030, 6, 1), 'Gastos e Ingresos 2030'!$A:$A, "&lt;"&amp;DATE(2030, 7, 1)), "")</f>
        <v/>
      </c>
      <c r="K8" s="75">
        <f>IF(COUNTIFS('Gastos e Ingresos 2030'!$A:$A, "&gt;="&amp;DATE(2030, 6, 1), 'Gastos e Ingresos 2030'!$A:$A, "&lt;"&amp;DATE(2030, 7, 1))&gt;0, SUMIFS('Gastos e Ingresos 2030'!$E:$E, 'Gastos e Ingresos 2030'!$D:$D, "Gasto", 'Gastos e Ingresos 2030'!$C:$C, K$2, 'Gastos e Ingresos 2030'!$A:$A, "&gt;="&amp;DATE(2030, 6, 1), 'Gastos e Ingresos 2030'!$A:$A, "&lt;"&amp;DATE(2030, 7, 1)), "")</f>
        <v/>
      </c>
      <c r="L8" s="75">
        <f>IF(COUNTIFS('Gastos e Ingresos 2030'!$A:$A, "&gt;="&amp;DATE(2030, 6, 1), 'Gastos e Ingresos 2030'!$A:$A, "&lt;"&amp;DATE(2030, 7, 1))&gt;0, SUMIFS('Gastos e Ingresos 2030'!$E:$E, 'Gastos e Ingresos 2030'!$D:$D, "Gasto", 'Gastos e Ingresos 2030'!$C:$C, L$2, 'Gastos e Ingresos 2030'!$A:$A, "&gt;="&amp;DATE(2030, 6, 1), 'Gastos e Ingresos 2030'!$A:$A, "&lt;"&amp;DATE(2030, 7, 1)), "")</f>
        <v/>
      </c>
      <c r="M8" s="75">
        <f>IF(COUNTIFS('Gastos e Ingresos 2030'!$A:$A, "&gt;="&amp;DATE(2030, 6, 1), 'Gastos e Ingresos 2030'!$A:$A, "&lt;"&amp;DATE(2030, 7, 1))&gt;0, SUMIFS('Gastos e Ingresos 2030'!$E:$E, 'Gastos e Ingresos 2030'!$D:$D, "Gasto", 'Gastos e Ingresos 2030'!$C:$C, M$2, 'Gastos e Ingresos 2030'!$A:$A, "&gt;="&amp;DATE(2030, 6, 1), 'Gastos e Ingresos 2030'!$A:$A, "&lt;"&amp;DATE(2030, 7, 1)), "")</f>
        <v/>
      </c>
      <c r="N8" s="75">
        <f>IF(COUNTIFS('Gastos e Ingresos 2030'!$A:$A, "&gt;="&amp;DATE(2030, 6, 1), 'Gastos e Ingresos 2030'!$A:$A, "&lt;"&amp;DATE(2030, 7, 1))&gt;0, SUMIFS('Gastos e Ingresos 2030'!$E:$E, 'Gastos e Ingresos 2030'!$D:$D, "Gasto", 'Gastos e Ingresos 2030'!$C:$C, N$2, 'Gastos e Ingresos 2030'!$A:$A, "&gt;="&amp;DATE(2030, 6, 1), 'Gastos e Ingresos 2030'!$A:$A, "&lt;"&amp;DATE(2030, 7, 1)), "")</f>
        <v/>
      </c>
      <c r="O8" s="75">
        <f>IF(COUNTIFS('Gastos e Ingresos 2030'!$A:$A, "&gt;="&amp;DATE(2030, 6, 1), 'Gastos e Ingresos 2030'!$A:$A, "&lt;"&amp;DATE(2030, 7, 1))&gt;0, SUMIFS('Gastos e Ingresos 2030'!$E:$E, 'Gastos e Ingresos 2030'!$D:$D, "Gasto", 'Gastos e Ingresos 2030'!$C:$C, O$2, 'Gastos e Ingresos 2030'!$A:$A, "&gt;="&amp;DATE(2030, 6, 1), 'Gastos e Ingresos 2030'!$A:$A, "&lt;"&amp;DATE(2030, 7, 1)), "")</f>
        <v/>
      </c>
      <c r="P8" s="75">
        <f>IF(COUNTIFS('Gastos e Ingresos 2030'!$A:$A, "&gt;="&amp;DATE(2030, 6, 1), 'Gastos e Ingresos 2030'!$A:$A, "&lt;"&amp;DATE(2030, 7, 1))&gt;0, SUMIFS('Gastos e Ingresos 2030'!$E:$E, 'Gastos e Ingresos 2030'!$D:$D, "Gasto", 'Gastos e Ingresos 2030'!$C:$C, P$2, 'Gastos e Ingresos 2030'!$A:$A, "&gt;="&amp;DATE(2030, 6, 1), 'Gastos e Ingresos 2030'!$A:$A, "&lt;"&amp;DATE(2030, 7, 1)), "")</f>
        <v/>
      </c>
      <c r="Q8" s="75">
        <f>IF(COUNTIFS('Gastos e Ingresos 2030'!$A:$A, "&gt;="&amp;DATE(2030, 6, 1), 'Gastos e Ingresos 2030'!$A:$A, "&lt;"&amp;DATE(2030, 7, 1))&gt;0, SUMIFS('Gastos e Ingresos 2030'!$E:$E, 'Gastos e Ingresos 2030'!$D:$D, "Gasto", 'Gastos e Ingresos 2030'!$C:$C, Q$2, 'Gastos e Ingresos 2030'!$A:$A, "&gt;="&amp;DATE(2030, 6, 1), 'Gastos e Ingresos 2030'!$A:$A, "&lt;"&amp;DATE(2030, 7, 1)), "")</f>
        <v/>
      </c>
      <c r="R8" s="75">
        <f>IF(COUNTIFS('Gastos e Ingresos 2030'!$A:$A, "&gt;="&amp;DATE(2030, 6, 1), 'Gastos e Ingresos 2030'!$A:$A, "&lt;"&amp;DATE(2030, 7, 1))&gt;0, SUMIFS('Gastos e Ingresos 2030'!$E:$E, 'Gastos e Ingresos 2030'!$D:$D, "Gasto", 'Gastos e Ingresos 2030'!$C:$C, R$2, 'Gastos e Ingresos 2030'!$A:$A, "&gt;="&amp;DATE(2030, 6, 1), 'Gastos e Ingresos 2030'!$A:$A, "&lt;"&amp;DATE(2030, 7, 1)), "")</f>
        <v/>
      </c>
    </row>
    <row r="9" ht="24" customHeight="1" s="18">
      <c r="A9" s="97" t="inlineStr">
        <is>
          <t>Julio</t>
        </is>
      </c>
      <c r="B9" s="78">
        <f>IF(COUNTIFS('Gastos e Ingresos 2030'!$A:$A, "&gt;="&amp;DATE(2030, 7, 1), 'Gastos e Ingresos 2030'!$A:$A, "&lt;"&amp;DATE(2030, 8, 1))&gt;0, SUMIFS('Gastos e Ingresos 2030'!$E:$E, 'Gastos e Ingresos 2030'!$D:$D, "Ingreso", 'Gastos e Ingresos 2030'!$A:$A, "&gt;="&amp;DATE(2030, 7, 1), 'Gastos e Ingresos 2030'!$A:$A, "&lt;"&amp;DATE(2030, 8, 1)), "")</f>
        <v/>
      </c>
      <c r="C9" s="78">
        <f>IF(COUNTIFS('Gastos e Ingresos 2030'!$A:$A, "&gt;="&amp;DATE(2030, 7, 1), 'Gastos e Ingresos 2030'!$A:$A, "&lt;"&amp;DATE(2030, 8, 1))&gt;0, SUMIFS('Gastos e Ingresos 2030'!$E:$E, 'Gastos e Ingresos 2030'!$D:$D, "Gasto", 'Gastos e Ingresos 2030'!$A:$A, "&gt;="&amp;DATE(2030, 7, 1), 'Gastos e Ingresos 2030'!$A:$A, "&lt;"&amp;DATE(2030, 8, 1)), "")</f>
        <v/>
      </c>
      <c r="D9" s="83">
        <f>IF(B9="","",B9-C9)</f>
        <v/>
      </c>
      <c r="E9" s="98">
        <f>IF(B9="","",IF(B9&gt;0, D9/B9, 0))</f>
        <v/>
      </c>
      <c r="F9" s="78">
        <f>IF(COUNTIFS('Gastos e Ingresos 2030'!$A:$A, "&gt;="&amp;DATE(2030, 7, 1), 'Gastos e Ingresos 2030'!$A:$A, "&lt;"&amp;DATE(2030, 8, 1))&gt;0, SUMIFS('Gastos e Ingresos 2030'!$E:$E, 'Gastos e Ingresos 2030'!$D:$D, "Gasto", 'Gastos e Ingresos 2030'!$C:$C, F$2, 'Gastos e Ingresos 2030'!$A:$A, "&gt;="&amp;DATE(2030, 7, 1), 'Gastos e Ingresos 2030'!$A:$A, "&lt;"&amp;DATE(2030, 8, 1)), "")</f>
        <v/>
      </c>
      <c r="G9" s="78">
        <f>IF(COUNTIFS('Gastos e Ingresos 2030'!$A:$A, "&gt;="&amp;DATE(2030, 7, 1), 'Gastos e Ingresos 2030'!$A:$A, "&lt;"&amp;DATE(2030, 8, 1))&gt;0, SUMIFS('Gastos e Ingresos 2030'!$E:$E, 'Gastos e Ingresos 2030'!$D:$D, "Gasto", 'Gastos e Ingresos 2030'!$C:$C, G$2, 'Gastos e Ingresos 2030'!$A:$A, "&gt;="&amp;DATE(2030, 7, 1), 'Gastos e Ingresos 2030'!$A:$A, "&lt;"&amp;DATE(2030, 8, 1)), "")</f>
        <v/>
      </c>
      <c r="H9" s="78">
        <f>IF(COUNTIFS('Gastos e Ingresos 2030'!$A:$A, "&gt;="&amp;DATE(2030, 7, 1), 'Gastos e Ingresos 2030'!$A:$A, "&lt;"&amp;DATE(2030, 8, 1))&gt;0, SUMIFS('Gastos e Ingresos 2030'!$E:$E, 'Gastos e Ingresos 2030'!$D:$D, "Gasto", 'Gastos e Ingresos 2030'!$C:$C, H$2, 'Gastos e Ingresos 2030'!$A:$A, "&gt;="&amp;DATE(2030, 7, 1), 'Gastos e Ingresos 2030'!$A:$A, "&lt;"&amp;DATE(2030, 8, 1)), "")</f>
        <v/>
      </c>
      <c r="I9" s="78">
        <f>IF(COUNTIFS('Gastos e Ingresos 2030'!$A:$A, "&gt;="&amp;DATE(2030, 7, 1), 'Gastos e Ingresos 2030'!$A:$A, "&lt;"&amp;DATE(2030, 8, 1))&gt;0, SUMIFS('Gastos e Ingresos 2030'!$E:$E, 'Gastos e Ingresos 2030'!$D:$D, "Gasto", 'Gastos e Ingresos 2030'!$C:$C, I$2, 'Gastos e Ingresos 2030'!$A:$A, "&gt;="&amp;DATE(2030, 7, 1), 'Gastos e Ingresos 2030'!$A:$A, "&lt;"&amp;DATE(2030, 8, 1)), "")</f>
        <v/>
      </c>
      <c r="J9" s="78">
        <f>IF(COUNTIFS('Gastos e Ingresos 2030'!$A:$A, "&gt;="&amp;DATE(2030, 7, 1), 'Gastos e Ingresos 2030'!$A:$A, "&lt;"&amp;DATE(2030, 8, 1))&gt;0, SUMIFS('Gastos e Ingresos 2030'!$E:$E, 'Gastos e Ingresos 2030'!$D:$D, "Gasto", 'Gastos e Ingresos 2030'!$C:$C, J$2, 'Gastos e Ingresos 2030'!$A:$A, "&gt;="&amp;DATE(2030, 7, 1), 'Gastos e Ingresos 2030'!$A:$A, "&lt;"&amp;DATE(2030, 8, 1)), "")</f>
        <v/>
      </c>
      <c r="K9" s="78">
        <f>IF(COUNTIFS('Gastos e Ingresos 2030'!$A:$A, "&gt;="&amp;DATE(2030, 7, 1), 'Gastos e Ingresos 2030'!$A:$A, "&lt;"&amp;DATE(2030, 8, 1))&gt;0, SUMIFS('Gastos e Ingresos 2030'!$E:$E, 'Gastos e Ingresos 2030'!$D:$D, "Gasto", 'Gastos e Ingresos 2030'!$C:$C, K$2, 'Gastos e Ingresos 2030'!$A:$A, "&gt;="&amp;DATE(2030, 7, 1), 'Gastos e Ingresos 2030'!$A:$A, "&lt;"&amp;DATE(2030, 8, 1)), "")</f>
        <v/>
      </c>
      <c r="L9" s="78">
        <f>IF(COUNTIFS('Gastos e Ingresos 2030'!$A:$A, "&gt;="&amp;DATE(2030, 7, 1), 'Gastos e Ingresos 2030'!$A:$A, "&lt;"&amp;DATE(2030, 8, 1))&gt;0, SUMIFS('Gastos e Ingresos 2030'!$E:$E, 'Gastos e Ingresos 2030'!$D:$D, "Gasto", 'Gastos e Ingresos 2030'!$C:$C, L$2, 'Gastos e Ingresos 2030'!$A:$A, "&gt;="&amp;DATE(2030, 7, 1), 'Gastos e Ingresos 2030'!$A:$A, "&lt;"&amp;DATE(2030, 8, 1)), "")</f>
        <v/>
      </c>
      <c r="M9" s="78">
        <f>IF(COUNTIFS('Gastos e Ingresos 2030'!$A:$A, "&gt;="&amp;DATE(2030, 7, 1), 'Gastos e Ingresos 2030'!$A:$A, "&lt;"&amp;DATE(2030, 8, 1))&gt;0, SUMIFS('Gastos e Ingresos 2030'!$E:$E, 'Gastos e Ingresos 2030'!$D:$D, "Gasto", 'Gastos e Ingresos 2030'!$C:$C, M$2, 'Gastos e Ingresos 2030'!$A:$A, "&gt;="&amp;DATE(2030, 7, 1), 'Gastos e Ingresos 2030'!$A:$A, "&lt;"&amp;DATE(2030, 8, 1)), "")</f>
        <v/>
      </c>
      <c r="N9" s="78">
        <f>IF(COUNTIFS('Gastos e Ingresos 2030'!$A:$A, "&gt;="&amp;DATE(2030, 7, 1), 'Gastos e Ingresos 2030'!$A:$A, "&lt;"&amp;DATE(2030, 8, 1))&gt;0, SUMIFS('Gastos e Ingresos 2030'!$E:$E, 'Gastos e Ingresos 2030'!$D:$D, "Gasto", 'Gastos e Ingresos 2030'!$C:$C, N$2, 'Gastos e Ingresos 2030'!$A:$A, "&gt;="&amp;DATE(2030, 7, 1), 'Gastos e Ingresos 2030'!$A:$A, "&lt;"&amp;DATE(2030, 8, 1)), "")</f>
        <v/>
      </c>
      <c r="O9" s="78">
        <f>IF(COUNTIFS('Gastos e Ingresos 2030'!$A:$A, "&gt;="&amp;DATE(2030, 7, 1), 'Gastos e Ingresos 2030'!$A:$A, "&lt;"&amp;DATE(2030, 8, 1))&gt;0, SUMIFS('Gastos e Ingresos 2030'!$E:$E, 'Gastos e Ingresos 2030'!$D:$D, "Gasto", 'Gastos e Ingresos 2030'!$C:$C, O$2, 'Gastos e Ingresos 2030'!$A:$A, "&gt;="&amp;DATE(2030, 7, 1), 'Gastos e Ingresos 2030'!$A:$A, "&lt;"&amp;DATE(2030, 8, 1)), "")</f>
        <v/>
      </c>
      <c r="P9" s="78">
        <f>IF(COUNTIFS('Gastos e Ingresos 2030'!$A:$A, "&gt;="&amp;DATE(2030, 7, 1), 'Gastos e Ingresos 2030'!$A:$A, "&lt;"&amp;DATE(2030, 8, 1))&gt;0, SUMIFS('Gastos e Ingresos 2030'!$E:$E, 'Gastos e Ingresos 2030'!$D:$D, "Gasto", 'Gastos e Ingresos 2030'!$C:$C, P$2, 'Gastos e Ingresos 2030'!$A:$A, "&gt;="&amp;DATE(2030, 7, 1), 'Gastos e Ingresos 2030'!$A:$A, "&lt;"&amp;DATE(2030, 8, 1)), "")</f>
        <v/>
      </c>
      <c r="Q9" s="78">
        <f>IF(COUNTIFS('Gastos e Ingresos 2030'!$A:$A, "&gt;="&amp;DATE(2030, 7, 1), 'Gastos e Ingresos 2030'!$A:$A, "&lt;"&amp;DATE(2030, 8, 1))&gt;0, SUMIFS('Gastos e Ingresos 2030'!$E:$E, 'Gastos e Ingresos 2030'!$D:$D, "Gasto", 'Gastos e Ingresos 2030'!$C:$C, Q$2, 'Gastos e Ingresos 2030'!$A:$A, "&gt;="&amp;DATE(2030, 7, 1), 'Gastos e Ingresos 2030'!$A:$A, "&lt;"&amp;DATE(2030, 8, 1)), "")</f>
        <v/>
      </c>
      <c r="R9" s="78">
        <f>IF(COUNTIFS('Gastos e Ingresos 2030'!$A:$A, "&gt;="&amp;DATE(2030, 7, 1), 'Gastos e Ingresos 2030'!$A:$A, "&lt;"&amp;DATE(2030, 8, 1))&gt;0, SUMIFS('Gastos e Ingresos 2030'!$E:$E, 'Gastos e Ingresos 2030'!$D:$D, "Gasto", 'Gastos e Ingresos 2030'!$C:$C, R$2, 'Gastos e Ingresos 2030'!$A:$A, "&gt;="&amp;DATE(2030, 7, 1), 'Gastos e Ingresos 2030'!$A:$A, "&lt;"&amp;DATE(2030, 8, 1)), "")</f>
        <v/>
      </c>
    </row>
    <row r="10" ht="24" customHeight="1" s="18">
      <c r="A10" s="97" t="inlineStr">
        <is>
          <t>Agosto</t>
        </is>
      </c>
      <c r="B10" s="78">
        <f>IF(COUNTIFS('Gastos e Ingresos 2030'!$A:$A, "&gt;="&amp;DATE(2030, 8, 1), 'Gastos e Ingresos 2030'!$A:$A, "&lt;"&amp;DATE(2030, 9, 1))&gt;0, SUMIFS('Gastos e Ingresos 2030'!$E:$E, 'Gastos e Ingresos 2030'!$D:$D, "Ingreso", 'Gastos e Ingresos 2030'!$A:$A, "&gt;="&amp;DATE(2030, 8, 1), 'Gastos e Ingresos 2030'!$A:$A, "&lt;"&amp;DATE(2030, 9, 1)), "")</f>
        <v/>
      </c>
      <c r="C10" s="78">
        <f>IF(COUNTIFS('Gastos e Ingresos 2030'!$A:$A, "&gt;="&amp;DATE(2030, 8, 1), 'Gastos e Ingresos 2030'!$A:$A, "&lt;"&amp;DATE(2030, 9, 1))&gt;0, SUMIFS('Gastos e Ingresos 2030'!$E:$E, 'Gastos e Ingresos 2030'!$D:$D, "Gasto", 'Gastos e Ingresos 2030'!$A:$A, "&gt;="&amp;DATE(2030, 8, 1), 'Gastos e Ingresos 2030'!$A:$A, "&lt;"&amp;DATE(2030, 9, 1)), "")</f>
        <v/>
      </c>
      <c r="D10" s="83">
        <f>IF(B10="","",B10-C10)</f>
        <v/>
      </c>
      <c r="E10" s="98">
        <f>IF(B10="","",IF(B10&gt;0, D10/B10, 0))</f>
        <v/>
      </c>
      <c r="F10" s="75">
        <f>IF(COUNTIFS('Gastos e Ingresos 2030'!$A:$A, "&gt;="&amp;DATE(2030, 8, 1), 'Gastos e Ingresos 2030'!$A:$A, "&lt;"&amp;DATE(2030, 9, 1))&gt;0, SUMIFS('Gastos e Ingresos 2030'!$E:$E, 'Gastos e Ingresos 2030'!$D:$D, "Gasto", 'Gastos e Ingresos 2030'!$C:$C, F$2, 'Gastos e Ingresos 2030'!$A:$A, "&gt;="&amp;DATE(2030, 8, 1), 'Gastos e Ingresos 2030'!$A:$A, "&lt;"&amp;DATE(2030, 9, 1)), "")</f>
        <v/>
      </c>
      <c r="G10" s="75">
        <f>IF(COUNTIFS('Gastos e Ingresos 2030'!$A:$A, "&gt;="&amp;DATE(2030, 8, 1), 'Gastos e Ingresos 2030'!$A:$A, "&lt;"&amp;DATE(2030, 9, 1))&gt;0, SUMIFS('Gastos e Ingresos 2030'!$E:$E, 'Gastos e Ingresos 2030'!$D:$D, "Gasto", 'Gastos e Ingresos 2030'!$C:$C, G$2, 'Gastos e Ingresos 2030'!$A:$A, "&gt;="&amp;DATE(2030, 8, 1), 'Gastos e Ingresos 2030'!$A:$A, "&lt;"&amp;DATE(2030, 9, 1)), "")</f>
        <v/>
      </c>
      <c r="H10" s="75">
        <f>IF(COUNTIFS('Gastos e Ingresos 2030'!$A:$A, "&gt;="&amp;DATE(2030, 8, 1), 'Gastos e Ingresos 2030'!$A:$A, "&lt;"&amp;DATE(2030, 9, 1))&gt;0, SUMIFS('Gastos e Ingresos 2030'!$E:$E, 'Gastos e Ingresos 2030'!$D:$D, "Gasto", 'Gastos e Ingresos 2030'!$C:$C, H$2, 'Gastos e Ingresos 2030'!$A:$A, "&gt;="&amp;DATE(2030, 8, 1), 'Gastos e Ingresos 2030'!$A:$A, "&lt;"&amp;DATE(2030, 9, 1)), "")</f>
        <v/>
      </c>
      <c r="I10" s="75">
        <f>IF(COUNTIFS('Gastos e Ingresos 2030'!$A:$A, "&gt;="&amp;DATE(2030, 8, 1), 'Gastos e Ingresos 2030'!$A:$A, "&lt;"&amp;DATE(2030, 9, 1))&gt;0, SUMIFS('Gastos e Ingresos 2030'!$E:$E, 'Gastos e Ingresos 2030'!$D:$D, "Gasto", 'Gastos e Ingresos 2030'!$C:$C, I$2, 'Gastos e Ingresos 2030'!$A:$A, "&gt;="&amp;DATE(2030, 8, 1), 'Gastos e Ingresos 2030'!$A:$A, "&lt;"&amp;DATE(2030, 9, 1)), "")</f>
        <v/>
      </c>
      <c r="J10" s="75">
        <f>IF(COUNTIFS('Gastos e Ingresos 2030'!$A:$A, "&gt;="&amp;DATE(2030, 8, 1), 'Gastos e Ingresos 2030'!$A:$A, "&lt;"&amp;DATE(2030, 9, 1))&gt;0, SUMIFS('Gastos e Ingresos 2030'!$E:$E, 'Gastos e Ingresos 2030'!$D:$D, "Gasto", 'Gastos e Ingresos 2030'!$C:$C, J$2, 'Gastos e Ingresos 2030'!$A:$A, "&gt;="&amp;DATE(2030, 8, 1), 'Gastos e Ingresos 2030'!$A:$A, "&lt;"&amp;DATE(2030, 9, 1)), "")</f>
        <v/>
      </c>
      <c r="K10" s="75">
        <f>IF(COUNTIFS('Gastos e Ingresos 2030'!$A:$A, "&gt;="&amp;DATE(2030, 8, 1), 'Gastos e Ingresos 2030'!$A:$A, "&lt;"&amp;DATE(2030, 9, 1))&gt;0, SUMIFS('Gastos e Ingresos 2030'!$E:$E, 'Gastos e Ingresos 2030'!$D:$D, "Gasto", 'Gastos e Ingresos 2030'!$C:$C, K$2, 'Gastos e Ingresos 2030'!$A:$A, "&gt;="&amp;DATE(2030, 8, 1), 'Gastos e Ingresos 2030'!$A:$A, "&lt;"&amp;DATE(2030, 9, 1)), "")</f>
        <v/>
      </c>
      <c r="L10" s="75">
        <f>IF(COUNTIFS('Gastos e Ingresos 2030'!$A:$A, "&gt;="&amp;DATE(2030, 8, 1), 'Gastos e Ingresos 2030'!$A:$A, "&lt;"&amp;DATE(2030, 9, 1))&gt;0, SUMIFS('Gastos e Ingresos 2030'!$E:$E, 'Gastos e Ingresos 2030'!$D:$D, "Gasto", 'Gastos e Ingresos 2030'!$C:$C, L$2, 'Gastos e Ingresos 2030'!$A:$A, "&gt;="&amp;DATE(2030, 8, 1), 'Gastos e Ingresos 2030'!$A:$A, "&lt;"&amp;DATE(2030, 9, 1)), "")</f>
        <v/>
      </c>
      <c r="M10" s="75">
        <f>IF(COUNTIFS('Gastos e Ingresos 2030'!$A:$A, "&gt;="&amp;DATE(2030, 8, 1), 'Gastos e Ingresos 2030'!$A:$A, "&lt;"&amp;DATE(2030, 9, 1))&gt;0, SUMIFS('Gastos e Ingresos 2030'!$E:$E, 'Gastos e Ingresos 2030'!$D:$D, "Gasto", 'Gastos e Ingresos 2030'!$C:$C, M$2, 'Gastos e Ingresos 2030'!$A:$A, "&gt;="&amp;DATE(2030, 8, 1), 'Gastos e Ingresos 2030'!$A:$A, "&lt;"&amp;DATE(2030, 9, 1)), "")</f>
        <v/>
      </c>
      <c r="N10" s="75">
        <f>IF(COUNTIFS('Gastos e Ingresos 2030'!$A:$A, "&gt;="&amp;DATE(2030, 8, 1), 'Gastos e Ingresos 2030'!$A:$A, "&lt;"&amp;DATE(2030, 9, 1))&gt;0, SUMIFS('Gastos e Ingresos 2030'!$E:$E, 'Gastos e Ingresos 2030'!$D:$D, "Gasto", 'Gastos e Ingresos 2030'!$C:$C, N$2, 'Gastos e Ingresos 2030'!$A:$A, "&gt;="&amp;DATE(2030, 8, 1), 'Gastos e Ingresos 2030'!$A:$A, "&lt;"&amp;DATE(2030, 9, 1)), "")</f>
        <v/>
      </c>
      <c r="O10" s="75">
        <f>IF(COUNTIFS('Gastos e Ingresos 2030'!$A:$A, "&gt;="&amp;DATE(2030, 8, 1), 'Gastos e Ingresos 2030'!$A:$A, "&lt;"&amp;DATE(2030, 9, 1))&gt;0, SUMIFS('Gastos e Ingresos 2030'!$E:$E, 'Gastos e Ingresos 2030'!$D:$D, "Gasto", 'Gastos e Ingresos 2030'!$C:$C, O$2, 'Gastos e Ingresos 2030'!$A:$A, "&gt;="&amp;DATE(2030, 8, 1), 'Gastos e Ingresos 2030'!$A:$A, "&lt;"&amp;DATE(2030, 9, 1)), "")</f>
        <v/>
      </c>
      <c r="P10" s="75">
        <f>IF(COUNTIFS('Gastos e Ingresos 2030'!$A:$A, "&gt;="&amp;DATE(2030, 8, 1), 'Gastos e Ingresos 2030'!$A:$A, "&lt;"&amp;DATE(2030, 9, 1))&gt;0, SUMIFS('Gastos e Ingresos 2030'!$E:$E, 'Gastos e Ingresos 2030'!$D:$D, "Gasto", 'Gastos e Ingresos 2030'!$C:$C, P$2, 'Gastos e Ingresos 2030'!$A:$A, "&gt;="&amp;DATE(2030, 8, 1), 'Gastos e Ingresos 2030'!$A:$A, "&lt;"&amp;DATE(2030, 9, 1)), "")</f>
        <v/>
      </c>
      <c r="Q10" s="75">
        <f>IF(COUNTIFS('Gastos e Ingresos 2030'!$A:$A, "&gt;="&amp;DATE(2030, 8, 1), 'Gastos e Ingresos 2030'!$A:$A, "&lt;"&amp;DATE(2030, 9, 1))&gt;0, SUMIFS('Gastos e Ingresos 2030'!$E:$E, 'Gastos e Ingresos 2030'!$D:$D, "Gasto", 'Gastos e Ingresos 2030'!$C:$C, Q$2, 'Gastos e Ingresos 2030'!$A:$A, "&gt;="&amp;DATE(2030, 8, 1), 'Gastos e Ingresos 2030'!$A:$A, "&lt;"&amp;DATE(2030, 9, 1)), "")</f>
        <v/>
      </c>
      <c r="R10" s="75">
        <f>IF(COUNTIFS('Gastos e Ingresos 2030'!$A:$A, "&gt;="&amp;DATE(2030, 8, 1), 'Gastos e Ingresos 2030'!$A:$A, "&lt;"&amp;DATE(2030, 9, 1))&gt;0, SUMIFS('Gastos e Ingresos 2030'!$E:$E, 'Gastos e Ingresos 2030'!$D:$D, "Gasto", 'Gastos e Ingresos 2030'!$C:$C, R$2, 'Gastos e Ingresos 2030'!$A:$A, "&gt;="&amp;DATE(2030, 8, 1), 'Gastos e Ingresos 2030'!$A:$A, "&lt;"&amp;DATE(2030, 9, 1)), "")</f>
        <v/>
      </c>
    </row>
    <row r="11" ht="24" customHeight="1" s="18">
      <c r="A11" s="97" t="inlineStr">
        <is>
          <t>Septiembre</t>
        </is>
      </c>
      <c r="B11" s="78">
        <f>IF(COUNTIFS('Gastos e Ingresos 2030'!$A:$A, "&gt;="&amp;DATE(2030, 9, 1), 'Gastos e Ingresos 2030'!$A:$A, "&lt;"&amp;DATE(2030, 10, 1))&gt;0, SUMIFS('Gastos e Ingresos 2030'!$E:$E, 'Gastos e Ingresos 2030'!$D:$D, "Ingreso", 'Gastos e Ingresos 2030'!$A:$A, "&gt;="&amp;DATE(2030, 9, 1), 'Gastos e Ingresos 2030'!$A:$A, "&lt;"&amp;DATE(2030, 10, 1)), "")</f>
        <v/>
      </c>
      <c r="C11" s="78">
        <f>IF(COUNTIFS('Gastos e Ingresos 2030'!$A:$A, "&gt;="&amp;DATE(2030, 9, 1), 'Gastos e Ingresos 2030'!$A:$A, "&lt;"&amp;DATE(2030, 10, 1))&gt;0, SUMIFS('Gastos e Ingresos 2030'!$E:$E, 'Gastos e Ingresos 2030'!$D:$D, "Gasto", 'Gastos e Ingresos 2030'!$A:$A, "&gt;="&amp;DATE(2030, 9, 1), 'Gastos e Ingresos 2030'!$A:$A, "&lt;"&amp;DATE(2030, 10, 1)), "")</f>
        <v/>
      </c>
      <c r="D11" s="83">
        <f>IF(B11="","",B11-C11)</f>
        <v/>
      </c>
      <c r="E11" s="98">
        <f>IF(B11="","",IF(B11&gt;0, D11/B11, 0))</f>
        <v/>
      </c>
      <c r="F11" s="78">
        <f>IF(COUNTIFS('Gastos e Ingresos 2030'!$A:$A, "&gt;="&amp;DATE(2030, 9, 1), 'Gastos e Ingresos 2030'!$A:$A, "&lt;"&amp;DATE(2030, 10, 1))&gt;0, SUMIFS('Gastos e Ingresos 2030'!$E:$E, 'Gastos e Ingresos 2030'!$D:$D, "Gasto", 'Gastos e Ingresos 2030'!$C:$C, F$2, 'Gastos e Ingresos 2030'!$A:$A, "&gt;="&amp;DATE(2030, 9, 1), 'Gastos e Ingresos 2030'!$A:$A, "&lt;"&amp;DATE(2030, 10, 1)), "")</f>
        <v/>
      </c>
      <c r="G11" s="78">
        <f>IF(COUNTIFS('Gastos e Ingresos 2030'!$A:$A, "&gt;="&amp;DATE(2030, 9, 1), 'Gastos e Ingresos 2030'!$A:$A, "&lt;"&amp;DATE(2030, 10, 1))&gt;0, SUMIFS('Gastos e Ingresos 2030'!$E:$E, 'Gastos e Ingresos 2030'!$D:$D, "Gasto", 'Gastos e Ingresos 2030'!$C:$C, G$2, 'Gastos e Ingresos 2030'!$A:$A, "&gt;="&amp;DATE(2030, 9, 1), 'Gastos e Ingresos 2030'!$A:$A, "&lt;"&amp;DATE(2030, 10, 1)), "")</f>
        <v/>
      </c>
      <c r="H11" s="78">
        <f>IF(COUNTIFS('Gastos e Ingresos 2030'!$A:$A, "&gt;="&amp;DATE(2030, 9, 1), 'Gastos e Ingresos 2030'!$A:$A, "&lt;"&amp;DATE(2030, 10, 1))&gt;0, SUMIFS('Gastos e Ingresos 2030'!$E:$E, 'Gastos e Ingresos 2030'!$D:$D, "Gasto", 'Gastos e Ingresos 2030'!$C:$C, H$2, 'Gastos e Ingresos 2030'!$A:$A, "&gt;="&amp;DATE(2030, 9, 1), 'Gastos e Ingresos 2030'!$A:$A, "&lt;"&amp;DATE(2030, 10, 1)), "")</f>
        <v/>
      </c>
      <c r="I11" s="78">
        <f>IF(COUNTIFS('Gastos e Ingresos 2030'!$A:$A, "&gt;="&amp;DATE(2030, 9, 1), 'Gastos e Ingresos 2030'!$A:$A, "&lt;"&amp;DATE(2030, 10, 1))&gt;0, SUMIFS('Gastos e Ingresos 2030'!$E:$E, 'Gastos e Ingresos 2030'!$D:$D, "Gasto", 'Gastos e Ingresos 2030'!$C:$C, I$2, 'Gastos e Ingresos 2030'!$A:$A, "&gt;="&amp;DATE(2030, 9, 1), 'Gastos e Ingresos 2030'!$A:$A, "&lt;"&amp;DATE(2030, 10, 1)), "")</f>
        <v/>
      </c>
      <c r="J11" s="78">
        <f>IF(COUNTIFS('Gastos e Ingresos 2030'!$A:$A, "&gt;="&amp;DATE(2030, 9, 1), 'Gastos e Ingresos 2030'!$A:$A, "&lt;"&amp;DATE(2030, 10, 1))&gt;0, SUMIFS('Gastos e Ingresos 2030'!$E:$E, 'Gastos e Ingresos 2030'!$D:$D, "Gasto", 'Gastos e Ingresos 2030'!$C:$C, J$2, 'Gastos e Ingresos 2030'!$A:$A, "&gt;="&amp;DATE(2030, 9, 1), 'Gastos e Ingresos 2030'!$A:$A, "&lt;"&amp;DATE(2030, 10, 1)), "")</f>
        <v/>
      </c>
      <c r="K11" s="78">
        <f>IF(COUNTIFS('Gastos e Ingresos 2030'!$A:$A, "&gt;="&amp;DATE(2030, 9, 1), 'Gastos e Ingresos 2030'!$A:$A, "&lt;"&amp;DATE(2030, 10, 1))&gt;0, SUMIFS('Gastos e Ingresos 2030'!$E:$E, 'Gastos e Ingresos 2030'!$D:$D, "Gasto", 'Gastos e Ingresos 2030'!$C:$C, K$2, 'Gastos e Ingresos 2030'!$A:$A, "&gt;="&amp;DATE(2030, 9, 1), 'Gastos e Ingresos 2030'!$A:$A, "&lt;"&amp;DATE(2030, 10, 1)), "")</f>
        <v/>
      </c>
      <c r="L11" s="78">
        <f>IF(COUNTIFS('Gastos e Ingresos 2030'!$A:$A, "&gt;="&amp;DATE(2030, 9, 1), 'Gastos e Ingresos 2030'!$A:$A, "&lt;"&amp;DATE(2030, 10, 1))&gt;0, SUMIFS('Gastos e Ingresos 2030'!$E:$E, 'Gastos e Ingresos 2030'!$D:$D, "Gasto", 'Gastos e Ingresos 2030'!$C:$C, L$2, 'Gastos e Ingresos 2030'!$A:$A, "&gt;="&amp;DATE(2030, 9, 1), 'Gastos e Ingresos 2030'!$A:$A, "&lt;"&amp;DATE(2030, 10, 1)), "")</f>
        <v/>
      </c>
      <c r="M11" s="78">
        <f>IF(COUNTIFS('Gastos e Ingresos 2030'!$A:$A, "&gt;="&amp;DATE(2030, 9, 1), 'Gastos e Ingresos 2030'!$A:$A, "&lt;"&amp;DATE(2030, 10, 1))&gt;0, SUMIFS('Gastos e Ingresos 2030'!$E:$E, 'Gastos e Ingresos 2030'!$D:$D, "Gasto", 'Gastos e Ingresos 2030'!$C:$C, M$2, 'Gastos e Ingresos 2030'!$A:$A, "&gt;="&amp;DATE(2030, 9, 1), 'Gastos e Ingresos 2030'!$A:$A, "&lt;"&amp;DATE(2030, 10, 1)), "")</f>
        <v/>
      </c>
      <c r="N11" s="78">
        <f>IF(COUNTIFS('Gastos e Ingresos 2030'!$A:$A, "&gt;="&amp;DATE(2030, 9, 1), 'Gastos e Ingresos 2030'!$A:$A, "&lt;"&amp;DATE(2030, 10, 1))&gt;0, SUMIFS('Gastos e Ingresos 2030'!$E:$E, 'Gastos e Ingresos 2030'!$D:$D, "Gasto", 'Gastos e Ingresos 2030'!$C:$C, N$2, 'Gastos e Ingresos 2030'!$A:$A, "&gt;="&amp;DATE(2030, 9, 1), 'Gastos e Ingresos 2030'!$A:$A, "&lt;"&amp;DATE(2030, 10, 1)), "")</f>
        <v/>
      </c>
      <c r="O11" s="78">
        <f>IF(COUNTIFS('Gastos e Ingresos 2030'!$A:$A, "&gt;="&amp;DATE(2030, 9, 1), 'Gastos e Ingresos 2030'!$A:$A, "&lt;"&amp;DATE(2030, 10, 1))&gt;0, SUMIFS('Gastos e Ingresos 2030'!$E:$E, 'Gastos e Ingresos 2030'!$D:$D, "Gasto", 'Gastos e Ingresos 2030'!$C:$C, O$2, 'Gastos e Ingresos 2030'!$A:$A, "&gt;="&amp;DATE(2030, 9, 1), 'Gastos e Ingresos 2030'!$A:$A, "&lt;"&amp;DATE(2030, 10, 1)), "")</f>
        <v/>
      </c>
      <c r="P11" s="78">
        <f>IF(COUNTIFS('Gastos e Ingresos 2030'!$A:$A, "&gt;="&amp;DATE(2030, 9, 1), 'Gastos e Ingresos 2030'!$A:$A, "&lt;"&amp;DATE(2030, 10, 1))&gt;0, SUMIFS('Gastos e Ingresos 2030'!$E:$E, 'Gastos e Ingresos 2030'!$D:$D, "Gasto", 'Gastos e Ingresos 2030'!$C:$C, P$2, 'Gastos e Ingresos 2030'!$A:$A, "&gt;="&amp;DATE(2030, 9, 1), 'Gastos e Ingresos 2030'!$A:$A, "&lt;"&amp;DATE(2030, 10, 1)), "")</f>
        <v/>
      </c>
      <c r="Q11" s="78">
        <f>IF(COUNTIFS('Gastos e Ingresos 2030'!$A:$A, "&gt;="&amp;DATE(2030, 9, 1), 'Gastos e Ingresos 2030'!$A:$A, "&lt;"&amp;DATE(2030, 10, 1))&gt;0, SUMIFS('Gastos e Ingresos 2030'!$E:$E, 'Gastos e Ingresos 2030'!$D:$D, "Gasto", 'Gastos e Ingresos 2030'!$C:$C, Q$2, 'Gastos e Ingresos 2030'!$A:$A, "&gt;="&amp;DATE(2030, 9, 1), 'Gastos e Ingresos 2030'!$A:$A, "&lt;"&amp;DATE(2030, 10, 1)), "")</f>
        <v/>
      </c>
      <c r="R11" s="78">
        <f>IF(COUNTIFS('Gastos e Ingresos 2030'!$A:$A, "&gt;="&amp;DATE(2030, 9, 1), 'Gastos e Ingresos 2030'!$A:$A, "&lt;"&amp;DATE(2030, 10, 1))&gt;0, SUMIFS('Gastos e Ingresos 2030'!$E:$E, 'Gastos e Ingresos 2030'!$D:$D, "Gasto", 'Gastos e Ingresos 2030'!$C:$C, R$2, 'Gastos e Ingresos 2030'!$A:$A, "&gt;="&amp;DATE(2030, 9, 1), 'Gastos e Ingresos 2030'!$A:$A, "&lt;"&amp;DATE(2030, 10, 1)), "")</f>
        <v/>
      </c>
    </row>
    <row r="12" ht="24" customHeight="1" s="18">
      <c r="A12" s="97" t="inlineStr">
        <is>
          <t>Octubre</t>
        </is>
      </c>
      <c r="B12" s="78">
        <f>IF(COUNTIFS('Gastos e Ingresos 2030'!$A:$A, "&gt;="&amp;DATE(2030, 10, 1), 'Gastos e Ingresos 2030'!$A:$A, "&lt;"&amp;DATE(2030, 11, 1))&gt;0, SUMIFS('Gastos e Ingresos 2030'!$E:$E, 'Gastos e Ingresos 2030'!$D:$D, "Ingreso", 'Gastos e Ingresos 2030'!$A:$A, "&gt;="&amp;DATE(2030, 10, 1), 'Gastos e Ingresos 2030'!$A:$A, "&lt;"&amp;DATE(2030, 11, 1)), "")</f>
        <v/>
      </c>
      <c r="C12" s="78">
        <f>IF(COUNTIFS('Gastos e Ingresos 2030'!$A:$A, "&gt;="&amp;DATE(2030, 10, 1), 'Gastos e Ingresos 2030'!$A:$A, "&lt;"&amp;DATE(2030, 11, 1))&gt;0, SUMIFS('Gastos e Ingresos 2030'!$E:$E, 'Gastos e Ingresos 2030'!$D:$D, "Gasto", 'Gastos e Ingresos 2030'!$A:$A, "&gt;="&amp;DATE(2030, 10, 1), 'Gastos e Ingresos 2030'!$A:$A, "&lt;"&amp;DATE(2030, 11, 1)), "")</f>
        <v/>
      </c>
      <c r="D12" s="83">
        <f>IF(B12="","",B12-C12)</f>
        <v/>
      </c>
      <c r="E12" s="98">
        <f>IF(B12="","",IF(B12&gt;0, D12/B12, 0))</f>
        <v/>
      </c>
      <c r="F12" s="75">
        <f>IF(COUNTIFS('Gastos e Ingresos 2030'!$A:$A, "&gt;="&amp;DATE(2030, 10, 1), 'Gastos e Ingresos 2030'!$A:$A, "&lt;"&amp;DATE(2030, 11, 1))&gt;0, SUMIFS('Gastos e Ingresos 2030'!$E:$E, 'Gastos e Ingresos 2030'!$D:$D, "Gasto", 'Gastos e Ingresos 2030'!$C:$C, F$2, 'Gastos e Ingresos 2030'!$A:$A, "&gt;="&amp;DATE(2030, 10, 1), 'Gastos e Ingresos 2030'!$A:$A, "&lt;"&amp;DATE(2030, 11, 1)), "")</f>
        <v/>
      </c>
      <c r="G12" s="75">
        <f>IF(COUNTIFS('Gastos e Ingresos 2030'!$A:$A, "&gt;="&amp;DATE(2030, 10, 1), 'Gastos e Ingresos 2030'!$A:$A, "&lt;"&amp;DATE(2030, 11, 1))&gt;0, SUMIFS('Gastos e Ingresos 2030'!$E:$E, 'Gastos e Ingresos 2030'!$D:$D, "Gasto", 'Gastos e Ingresos 2030'!$C:$C, G$2, 'Gastos e Ingresos 2030'!$A:$A, "&gt;="&amp;DATE(2030, 10, 1), 'Gastos e Ingresos 2030'!$A:$A, "&lt;"&amp;DATE(2030, 11, 1)), "")</f>
        <v/>
      </c>
      <c r="H12" s="75">
        <f>IF(COUNTIFS('Gastos e Ingresos 2030'!$A:$A, "&gt;="&amp;DATE(2030, 10, 1), 'Gastos e Ingresos 2030'!$A:$A, "&lt;"&amp;DATE(2030, 11, 1))&gt;0, SUMIFS('Gastos e Ingresos 2030'!$E:$E, 'Gastos e Ingresos 2030'!$D:$D, "Gasto", 'Gastos e Ingresos 2030'!$C:$C, H$2, 'Gastos e Ingresos 2030'!$A:$A, "&gt;="&amp;DATE(2030, 10, 1), 'Gastos e Ingresos 2030'!$A:$A, "&lt;"&amp;DATE(2030, 11, 1)), "")</f>
        <v/>
      </c>
      <c r="I12" s="75">
        <f>IF(COUNTIFS('Gastos e Ingresos 2030'!$A:$A, "&gt;="&amp;DATE(2030, 10, 1), 'Gastos e Ingresos 2030'!$A:$A, "&lt;"&amp;DATE(2030, 11, 1))&gt;0, SUMIFS('Gastos e Ingresos 2030'!$E:$E, 'Gastos e Ingresos 2030'!$D:$D, "Gasto", 'Gastos e Ingresos 2030'!$C:$C, I$2, 'Gastos e Ingresos 2030'!$A:$A, "&gt;="&amp;DATE(2030, 10, 1), 'Gastos e Ingresos 2030'!$A:$A, "&lt;"&amp;DATE(2030, 11, 1)), "")</f>
        <v/>
      </c>
      <c r="J12" s="75">
        <f>IF(COUNTIFS('Gastos e Ingresos 2030'!$A:$A, "&gt;="&amp;DATE(2030, 10, 1), 'Gastos e Ingresos 2030'!$A:$A, "&lt;"&amp;DATE(2030, 11, 1))&gt;0, SUMIFS('Gastos e Ingresos 2030'!$E:$E, 'Gastos e Ingresos 2030'!$D:$D, "Gasto", 'Gastos e Ingresos 2030'!$C:$C, J$2, 'Gastos e Ingresos 2030'!$A:$A, "&gt;="&amp;DATE(2030, 10, 1), 'Gastos e Ingresos 2030'!$A:$A, "&lt;"&amp;DATE(2030, 11, 1)), "")</f>
        <v/>
      </c>
      <c r="K12" s="75">
        <f>IF(COUNTIFS('Gastos e Ingresos 2030'!$A:$A, "&gt;="&amp;DATE(2030, 10, 1), 'Gastos e Ingresos 2030'!$A:$A, "&lt;"&amp;DATE(2030, 11, 1))&gt;0, SUMIFS('Gastos e Ingresos 2030'!$E:$E, 'Gastos e Ingresos 2030'!$D:$D, "Gasto", 'Gastos e Ingresos 2030'!$C:$C, K$2, 'Gastos e Ingresos 2030'!$A:$A, "&gt;="&amp;DATE(2030, 10, 1), 'Gastos e Ingresos 2030'!$A:$A, "&lt;"&amp;DATE(2030, 11, 1)), "")</f>
        <v/>
      </c>
      <c r="L12" s="75">
        <f>IF(COUNTIFS('Gastos e Ingresos 2030'!$A:$A, "&gt;="&amp;DATE(2030, 10, 1), 'Gastos e Ingresos 2030'!$A:$A, "&lt;"&amp;DATE(2030, 11, 1))&gt;0, SUMIFS('Gastos e Ingresos 2030'!$E:$E, 'Gastos e Ingresos 2030'!$D:$D, "Gasto", 'Gastos e Ingresos 2030'!$C:$C, L$2, 'Gastos e Ingresos 2030'!$A:$A, "&gt;="&amp;DATE(2030, 10, 1), 'Gastos e Ingresos 2030'!$A:$A, "&lt;"&amp;DATE(2030, 11, 1)), "")</f>
        <v/>
      </c>
      <c r="M12" s="75">
        <f>IF(COUNTIFS('Gastos e Ingresos 2030'!$A:$A, "&gt;="&amp;DATE(2030, 10, 1), 'Gastos e Ingresos 2030'!$A:$A, "&lt;"&amp;DATE(2030, 11, 1))&gt;0, SUMIFS('Gastos e Ingresos 2030'!$E:$E, 'Gastos e Ingresos 2030'!$D:$D, "Gasto", 'Gastos e Ingresos 2030'!$C:$C, M$2, 'Gastos e Ingresos 2030'!$A:$A, "&gt;="&amp;DATE(2030, 10, 1), 'Gastos e Ingresos 2030'!$A:$A, "&lt;"&amp;DATE(2030, 11, 1)), "")</f>
        <v/>
      </c>
      <c r="N12" s="75">
        <f>IF(COUNTIFS('Gastos e Ingresos 2030'!$A:$A, "&gt;="&amp;DATE(2030, 10, 1), 'Gastos e Ingresos 2030'!$A:$A, "&lt;"&amp;DATE(2030, 11, 1))&gt;0, SUMIFS('Gastos e Ingresos 2030'!$E:$E, 'Gastos e Ingresos 2030'!$D:$D, "Gasto", 'Gastos e Ingresos 2030'!$C:$C, N$2, 'Gastos e Ingresos 2030'!$A:$A, "&gt;="&amp;DATE(2030, 10, 1), 'Gastos e Ingresos 2030'!$A:$A, "&lt;"&amp;DATE(2030, 11, 1)), "")</f>
        <v/>
      </c>
      <c r="O12" s="75">
        <f>IF(COUNTIFS('Gastos e Ingresos 2030'!$A:$A, "&gt;="&amp;DATE(2030, 10, 1), 'Gastos e Ingresos 2030'!$A:$A, "&lt;"&amp;DATE(2030, 11, 1))&gt;0, SUMIFS('Gastos e Ingresos 2030'!$E:$E, 'Gastos e Ingresos 2030'!$D:$D, "Gasto", 'Gastos e Ingresos 2030'!$C:$C, O$2, 'Gastos e Ingresos 2030'!$A:$A, "&gt;="&amp;DATE(2030, 10, 1), 'Gastos e Ingresos 2030'!$A:$A, "&lt;"&amp;DATE(2030, 11, 1)), "")</f>
        <v/>
      </c>
      <c r="P12" s="75">
        <f>IF(COUNTIFS('Gastos e Ingresos 2030'!$A:$A, "&gt;="&amp;DATE(2030, 10, 1), 'Gastos e Ingresos 2030'!$A:$A, "&lt;"&amp;DATE(2030, 11, 1))&gt;0, SUMIFS('Gastos e Ingresos 2030'!$E:$E, 'Gastos e Ingresos 2030'!$D:$D, "Gasto", 'Gastos e Ingresos 2030'!$C:$C, P$2, 'Gastos e Ingresos 2030'!$A:$A, "&gt;="&amp;DATE(2030, 10, 1), 'Gastos e Ingresos 2030'!$A:$A, "&lt;"&amp;DATE(2030, 11, 1)), "")</f>
        <v/>
      </c>
      <c r="Q12" s="75">
        <f>IF(COUNTIFS('Gastos e Ingresos 2030'!$A:$A, "&gt;="&amp;DATE(2030, 10, 1), 'Gastos e Ingresos 2030'!$A:$A, "&lt;"&amp;DATE(2030, 11, 1))&gt;0, SUMIFS('Gastos e Ingresos 2030'!$E:$E, 'Gastos e Ingresos 2030'!$D:$D, "Gasto", 'Gastos e Ingresos 2030'!$C:$C, Q$2, 'Gastos e Ingresos 2030'!$A:$A, "&gt;="&amp;DATE(2030, 10, 1), 'Gastos e Ingresos 2030'!$A:$A, "&lt;"&amp;DATE(2030, 11, 1)), "")</f>
        <v/>
      </c>
      <c r="R12" s="75">
        <f>IF(COUNTIFS('Gastos e Ingresos 2030'!$A:$A, "&gt;="&amp;DATE(2030, 10, 1), 'Gastos e Ingresos 2030'!$A:$A, "&lt;"&amp;DATE(2030, 11, 1))&gt;0, SUMIFS('Gastos e Ingresos 2030'!$E:$E, 'Gastos e Ingresos 2030'!$D:$D, "Gasto", 'Gastos e Ingresos 2030'!$C:$C, R$2, 'Gastos e Ingresos 2030'!$A:$A, "&gt;="&amp;DATE(2030, 10, 1), 'Gastos e Ingresos 2030'!$A:$A, "&lt;"&amp;DATE(2030, 11, 1)), "")</f>
        <v/>
      </c>
    </row>
    <row r="13" ht="24" customHeight="1" s="18">
      <c r="A13" s="97" t="inlineStr">
        <is>
          <t>Noviembre</t>
        </is>
      </c>
      <c r="B13" s="78">
        <f>IF(COUNTIFS('Gastos e Ingresos 2030'!$A:$A, "&gt;="&amp;DATE(2030, 11, 1), 'Gastos e Ingresos 2030'!$A:$A, "&lt;"&amp;DATE(2030, 12, 1))&gt;0, SUMIFS('Gastos e Ingresos 2030'!$E:$E, 'Gastos e Ingresos 2030'!$D:$D, "Ingreso", 'Gastos e Ingresos 2030'!$A:$A, "&gt;="&amp;DATE(2030, 11, 1), 'Gastos e Ingresos 2030'!$A:$A, "&lt;"&amp;DATE(2030, 12, 1)), "")</f>
        <v/>
      </c>
      <c r="C13" s="78">
        <f>IF(COUNTIFS('Gastos e Ingresos 2030'!$A:$A, "&gt;="&amp;DATE(2030, 11, 1), 'Gastos e Ingresos 2030'!$A:$A, "&lt;"&amp;DATE(2030, 12, 1))&gt;0, SUMIFS('Gastos e Ingresos 2030'!$E:$E, 'Gastos e Ingresos 2030'!$D:$D, "Gasto", 'Gastos e Ingresos 2030'!$A:$A, "&gt;="&amp;DATE(2030, 11, 1), 'Gastos e Ingresos 2030'!$A:$A, "&lt;"&amp;DATE(2030, 12, 1)), "")</f>
        <v/>
      </c>
      <c r="D13" s="83">
        <f>IF(B13="","",B13-C13)</f>
        <v/>
      </c>
      <c r="E13" s="98">
        <f>IF(B13="","",IF(B13&gt;0, D13/B13, 0))</f>
        <v/>
      </c>
      <c r="F13" s="78">
        <f>IF(COUNTIFS('Gastos e Ingresos 2030'!$A:$A, "&gt;="&amp;DATE(2030, 11, 1), 'Gastos e Ingresos 2030'!$A:$A, "&lt;"&amp;DATE(2030, 12, 1))&gt;0, SUMIFS('Gastos e Ingresos 2030'!$E:$E, 'Gastos e Ingresos 2030'!$D:$D, "Gasto", 'Gastos e Ingresos 2030'!$C:$C, F$2, 'Gastos e Ingresos 2030'!$A:$A, "&gt;="&amp;DATE(2030, 11, 1), 'Gastos e Ingresos 2030'!$A:$A, "&lt;"&amp;DATE(2030, 12, 1)), "")</f>
        <v/>
      </c>
      <c r="G13" s="78">
        <f>IF(COUNTIFS('Gastos e Ingresos 2030'!$A:$A, "&gt;="&amp;DATE(2030, 11, 1), 'Gastos e Ingresos 2030'!$A:$A, "&lt;"&amp;DATE(2030, 12, 1))&gt;0, SUMIFS('Gastos e Ingresos 2030'!$E:$E, 'Gastos e Ingresos 2030'!$D:$D, "Gasto", 'Gastos e Ingresos 2030'!$C:$C, G$2, 'Gastos e Ingresos 2030'!$A:$A, "&gt;="&amp;DATE(2030, 11, 1), 'Gastos e Ingresos 2030'!$A:$A, "&lt;"&amp;DATE(2030, 12, 1)), "")</f>
        <v/>
      </c>
      <c r="H13" s="78">
        <f>IF(COUNTIFS('Gastos e Ingresos 2030'!$A:$A, "&gt;="&amp;DATE(2030, 11, 1), 'Gastos e Ingresos 2030'!$A:$A, "&lt;"&amp;DATE(2030, 12, 1))&gt;0, SUMIFS('Gastos e Ingresos 2030'!$E:$E, 'Gastos e Ingresos 2030'!$D:$D, "Gasto", 'Gastos e Ingresos 2030'!$C:$C, H$2, 'Gastos e Ingresos 2030'!$A:$A, "&gt;="&amp;DATE(2030, 11, 1), 'Gastos e Ingresos 2030'!$A:$A, "&lt;"&amp;DATE(2030, 12, 1)), "")</f>
        <v/>
      </c>
      <c r="I13" s="78">
        <f>IF(COUNTIFS('Gastos e Ingresos 2030'!$A:$A, "&gt;="&amp;DATE(2030, 11, 1), 'Gastos e Ingresos 2030'!$A:$A, "&lt;"&amp;DATE(2030, 12, 1))&gt;0, SUMIFS('Gastos e Ingresos 2030'!$E:$E, 'Gastos e Ingresos 2030'!$D:$D, "Gasto", 'Gastos e Ingresos 2030'!$C:$C, I$2, 'Gastos e Ingresos 2030'!$A:$A, "&gt;="&amp;DATE(2030, 11, 1), 'Gastos e Ingresos 2030'!$A:$A, "&lt;"&amp;DATE(2030, 12, 1)), "")</f>
        <v/>
      </c>
      <c r="J13" s="78">
        <f>IF(COUNTIFS('Gastos e Ingresos 2030'!$A:$A, "&gt;="&amp;DATE(2030, 11, 1), 'Gastos e Ingresos 2030'!$A:$A, "&lt;"&amp;DATE(2030, 12, 1))&gt;0, SUMIFS('Gastos e Ingresos 2030'!$E:$E, 'Gastos e Ingresos 2030'!$D:$D, "Gasto", 'Gastos e Ingresos 2030'!$C:$C, J$2, 'Gastos e Ingresos 2030'!$A:$A, "&gt;="&amp;DATE(2030, 11, 1), 'Gastos e Ingresos 2030'!$A:$A, "&lt;"&amp;DATE(2030, 12, 1)), "")</f>
        <v/>
      </c>
      <c r="K13" s="78">
        <f>IF(COUNTIFS('Gastos e Ingresos 2030'!$A:$A, "&gt;="&amp;DATE(2030, 11, 1), 'Gastos e Ingresos 2030'!$A:$A, "&lt;"&amp;DATE(2030, 12, 1))&gt;0, SUMIFS('Gastos e Ingresos 2030'!$E:$E, 'Gastos e Ingresos 2030'!$D:$D, "Gasto", 'Gastos e Ingresos 2030'!$C:$C, K$2, 'Gastos e Ingresos 2030'!$A:$A, "&gt;="&amp;DATE(2030, 11, 1), 'Gastos e Ingresos 2030'!$A:$A, "&lt;"&amp;DATE(2030, 12, 1)), "")</f>
        <v/>
      </c>
      <c r="L13" s="78">
        <f>IF(COUNTIFS('Gastos e Ingresos 2030'!$A:$A, "&gt;="&amp;DATE(2030, 11, 1), 'Gastos e Ingresos 2030'!$A:$A, "&lt;"&amp;DATE(2030, 12, 1))&gt;0, SUMIFS('Gastos e Ingresos 2030'!$E:$E, 'Gastos e Ingresos 2030'!$D:$D, "Gasto", 'Gastos e Ingresos 2030'!$C:$C, L$2, 'Gastos e Ingresos 2030'!$A:$A, "&gt;="&amp;DATE(2030, 11, 1), 'Gastos e Ingresos 2030'!$A:$A, "&lt;"&amp;DATE(2030, 12, 1)), "")</f>
        <v/>
      </c>
      <c r="M13" s="78">
        <f>IF(COUNTIFS('Gastos e Ingresos 2030'!$A:$A, "&gt;="&amp;DATE(2030, 11, 1), 'Gastos e Ingresos 2030'!$A:$A, "&lt;"&amp;DATE(2030, 12, 1))&gt;0, SUMIFS('Gastos e Ingresos 2030'!$E:$E, 'Gastos e Ingresos 2030'!$D:$D, "Gasto", 'Gastos e Ingresos 2030'!$C:$C, M$2, 'Gastos e Ingresos 2030'!$A:$A, "&gt;="&amp;DATE(2030, 11, 1), 'Gastos e Ingresos 2030'!$A:$A, "&lt;"&amp;DATE(2030, 12, 1)), "")</f>
        <v/>
      </c>
      <c r="N13" s="78">
        <f>IF(COUNTIFS('Gastos e Ingresos 2030'!$A:$A, "&gt;="&amp;DATE(2030, 11, 1), 'Gastos e Ingresos 2030'!$A:$A, "&lt;"&amp;DATE(2030, 12, 1))&gt;0, SUMIFS('Gastos e Ingresos 2030'!$E:$E, 'Gastos e Ingresos 2030'!$D:$D, "Gasto", 'Gastos e Ingresos 2030'!$C:$C, N$2, 'Gastos e Ingresos 2030'!$A:$A, "&gt;="&amp;DATE(2030, 11, 1), 'Gastos e Ingresos 2030'!$A:$A, "&lt;"&amp;DATE(2030, 12, 1)), "")</f>
        <v/>
      </c>
      <c r="O13" s="78">
        <f>IF(COUNTIFS('Gastos e Ingresos 2030'!$A:$A, "&gt;="&amp;DATE(2030, 11, 1), 'Gastos e Ingresos 2030'!$A:$A, "&lt;"&amp;DATE(2030, 12, 1))&gt;0, SUMIFS('Gastos e Ingresos 2030'!$E:$E, 'Gastos e Ingresos 2030'!$D:$D, "Gasto", 'Gastos e Ingresos 2030'!$C:$C, O$2, 'Gastos e Ingresos 2030'!$A:$A, "&gt;="&amp;DATE(2030, 11, 1), 'Gastos e Ingresos 2030'!$A:$A, "&lt;"&amp;DATE(2030, 12, 1)), "")</f>
        <v/>
      </c>
      <c r="P13" s="78">
        <f>IF(COUNTIFS('Gastos e Ingresos 2030'!$A:$A, "&gt;="&amp;DATE(2030, 11, 1), 'Gastos e Ingresos 2030'!$A:$A, "&lt;"&amp;DATE(2030, 12, 1))&gt;0, SUMIFS('Gastos e Ingresos 2030'!$E:$E, 'Gastos e Ingresos 2030'!$D:$D, "Gasto", 'Gastos e Ingresos 2030'!$C:$C, P$2, 'Gastos e Ingresos 2030'!$A:$A, "&gt;="&amp;DATE(2030, 11, 1), 'Gastos e Ingresos 2030'!$A:$A, "&lt;"&amp;DATE(2030, 12, 1)), "")</f>
        <v/>
      </c>
      <c r="Q13" s="78">
        <f>IF(COUNTIFS('Gastos e Ingresos 2030'!$A:$A, "&gt;="&amp;DATE(2030, 11, 1), 'Gastos e Ingresos 2030'!$A:$A, "&lt;"&amp;DATE(2030, 12, 1))&gt;0, SUMIFS('Gastos e Ingresos 2030'!$E:$E, 'Gastos e Ingresos 2030'!$D:$D, "Gasto", 'Gastos e Ingresos 2030'!$C:$C, Q$2, 'Gastos e Ingresos 2030'!$A:$A, "&gt;="&amp;DATE(2030, 11, 1), 'Gastos e Ingresos 2030'!$A:$A, "&lt;"&amp;DATE(2030, 12, 1)), "")</f>
        <v/>
      </c>
      <c r="R13" s="78">
        <f>IF(COUNTIFS('Gastos e Ingresos 2030'!$A:$A, "&gt;="&amp;DATE(2030, 11, 1), 'Gastos e Ingresos 2030'!$A:$A, "&lt;"&amp;DATE(2030, 12, 1))&gt;0, SUMIFS('Gastos e Ingresos 2030'!$E:$E, 'Gastos e Ingresos 2030'!$D:$D, "Gasto", 'Gastos e Ingresos 2030'!$C:$C, R$2, 'Gastos e Ingresos 2030'!$A:$A, "&gt;="&amp;DATE(2030, 11, 1), 'Gastos e Ingresos 2030'!$A:$A, "&lt;"&amp;DATE(2030, 12, 1)), "")</f>
        <v/>
      </c>
    </row>
    <row r="14" ht="24" customHeight="1" s="18">
      <c r="A14" s="97" t="inlineStr">
        <is>
          <t>Diciembre</t>
        </is>
      </c>
      <c r="B14" s="78">
        <f>IF(COUNTIFS('Gastos e Ingresos 2030'!$A:$A, "&gt;="&amp;DATE(2030, 12, 1), 'Gastos e Ingresos 2030'!$A:$A, "&lt;"&amp;DATE(2030, 13, 1))&gt;0, SUMIFS('Gastos e Ingresos 2030'!$E:$E, 'Gastos e Ingresos 2030'!$D:$D, "Ingreso", 'Gastos e Ingresos 2030'!$A:$A, "&gt;="&amp;DATE(2030, 12, 1), 'Gastos e Ingresos 2030'!$A:$A, "&lt;"&amp;DATE(2030, 13, 1)), "")</f>
        <v/>
      </c>
      <c r="C14" s="78">
        <f>IF(COUNTIFS('Gastos e Ingresos 2030'!$A:$A, "&gt;="&amp;DATE(2030, 12, 1), 'Gastos e Ingresos 2030'!$A:$A, "&lt;"&amp;DATE(2030, 13, 1))&gt;0, SUMIFS('Gastos e Ingresos 2030'!$E:$E, 'Gastos e Ingresos 2030'!$D:$D, "Gasto", 'Gastos e Ingresos 2030'!$A:$A, "&gt;="&amp;DATE(2030, 12, 1), 'Gastos e Ingresos 2030'!$A:$A, "&lt;"&amp;DATE(2030, 13, 1)), "")</f>
        <v/>
      </c>
      <c r="D14" s="83">
        <f>IF(B14="","",B14-C14)</f>
        <v/>
      </c>
      <c r="E14" s="98">
        <f>IF(B14="","",IF(B14&gt;0, D14/B14, 0))</f>
        <v/>
      </c>
      <c r="F14" s="75">
        <f>IF(COUNTIFS('Gastos e Ingresos 2030'!$A:$A, "&gt;="&amp;DATE(2030, 12, 1), 'Gastos e Ingresos 2030'!$A:$A, "&lt;"&amp;DATE(2030, 13, 1))&gt;0, SUMIFS('Gastos e Ingresos 2030'!$E:$E, 'Gastos e Ingresos 2030'!$D:$D, "Gasto", 'Gastos e Ingresos 2030'!$C:$C, F$2, 'Gastos e Ingresos 2030'!$A:$A, "&gt;="&amp;DATE(2030, 12, 1), 'Gastos e Ingresos 2030'!$A:$A, "&lt;"&amp;DATE(2030, 13, 1)), "")</f>
        <v/>
      </c>
      <c r="G14" s="75">
        <f>IF(COUNTIFS('Gastos e Ingresos 2030'!$A:$A, "&gt;="&amp;DATE(2030, 12, 1), 'Gastos e Ingresos 2030'!$A:$A, "&lt;"&amp;DATE(2030, 13, 1))&gt;0, SUMIFS('Gastos e Ingresos 2030'!$E:$E, 'Gastos e Ingresos 2030'!$D:$D, "Gasto", 'Gastos e Ingresos 2030'!$C:$C, G$2, 'Gastos e Ingresos 2030'!$A:$A, "&gt;="&amp;DATE(2030, 12, 1), 'Gastos e Ingresos 2030'!$A:$A, "&lt;"&amp;DATE(2030, 13, 1)), "")</f>
        <v/>
      </c>
      <c r="H14" s="75">
        <f>IF(COUNTIFS('Gastos e Ingresos 2030'!$A:$A, "&gt;="&amp;DATE(2030, 12, 1), 'Gastos e Ingresos 2030'!$A:$A, "&lt;"&amp;DATE(2030, 13, 1))&gt;0, SUMIFS('Gastos e Ingresos 2030'!$E:$E, 'Gastos e Ingresos 2030'!$D:$D, "Gasto", 'Gastos e Ingresos 2030'!$C:$C, H$2, 'Gastos e Ingresos 2030'!$A:$A, "&gt;="&amp;DATE(2030, 12, 1), 'Gastos e Ingresos 2030'!$A:$A, "&lt;"&amp;DATE(2030, 13, 1)), "")</f>
        <v/>
      </c>
      <c r="I14" s="75">
        <f>IF(COUNTIFS('Gastos e Ingresos 2030'!$A:$A, "&gt;="&amp;DATE(2030, 12, 1), 'Gastos e Ingresos 2030'!$A:$A, "&lt;"&amp;DATE(2030, 13, 1))&gt;0, SUMIFS('Gastos e Ingresos 2030'!$E:$E, 'Gastos e Ingresos 2030'!$D:$D, "Gasto", 'Gastos e Ingresos 2030'!$C:$C, I$2, 'Gastos e Ingresos 2030'!$A:$A, "&gt;="&amp;DATE(2030, 12, 1), 'Gastos e Ingresos 2030'!$A:$A, "&lt;"&amp;DATE(2030, 13, 1)), "")</f>
        <v/>
      </c>
      <c r="J14" s="75">
        <f>IF(COUNTIFS('Gastos e Ingresos 2030'!$A:$A, "&gt;="&amp;DATE(2030, 12, 1), 'Gastos e Ingresos 2030'!$A:$A, "&lt;"&amp;DATE(2030, 13, 1))&gt;0, SUMIFS('Gastos e Ingresos 2030'!$E:$E, 'Gastos e Ingresos 2030'!$D:$D, "Gasto", 'Gastos e Ingresos 2030'!$C:$C, J$2, 'Gastos e Ingresos 2030'!$A:$A, "&gt;="&amp;DATE(2030, 12, 1), 'Gastos e Ingresos 2030'!$A:$A, "&lt;"&amp;DATE(2030, 13, 1)), "")</f>
        <v/>
      </c>
      <c r="K14" s="75">
        <f>IF(COUNTIFS('Gastos e Ingresos 2030'!$A:$A, "&gt;="&amp;DATE(2030, 12, 1), 'Gastos e Ingresos 2030'!$A:$A, "&lt;"&amp;DATE(2030, 13, 1))&gt;0, SUMIFS('Gastos e Ingresos 2030'!$E:$E, 'Gastos e Ingresos 2030'!$D:$D, "Gasto", 'Gastos e Ingresos 2030'!$C:$C, K$2, 'Gastos e Ingresos 2030'!$A:$A, "&gt;="&amp;DATE(2030, 12, 1), 'Gastos e Ingresos 2030'!$A:$A, "&lt;"&amp;DATE(2030, 13, 1)), "")</f>
        <v/>
      </c>
      <c r="L14" s="75">
        <f>IF(COUNTIFS('Gastos e Ingresos 2030'!$A:$A, "&gt;="&amp;DATE(2030, 12, 1), 'Gastos e Ingresos 2030'!$A:$A, "&lt;"&amp;DATE(2030, 13, 1))&gt;0, SUMIFS('Gastos e Ingresos 2030'!$E:$E, 'Gastos e Ingresos 2030'!$D:$D, "Gasto", 'Gastos e Ingresos 2030'!$C:$C, L$2, 'Gastos e Ingresos 2030'!$A:$A, "&gt;="&amp;DATE(2030, 12, 1), 'Gastos e Ingresos 2030'!$A:$A, "&lt;"&amp;DATE(2030, 13, 1)), "")</f>
        <v/>
      </c>
      <c r="M14" s="75">
        <f>IF(COUNTIFS('Gastos e Ingresos 2030'!$A:$A, "&gt;="&amp;DATE(2030, 12, 1), 'Gastos e Ingresos 2030'!$A:$A, "&lt;"&amp;DATE(2030, 13, 1))&gt;0, SUMIFS('Gastos e Ingresos 2030'!$E:$E, 'Gastos e Ingresos 2030'!$D:$D, "Gasto", 'Gastos e Ingresos 2030'!$C:$C, M$2, 'Gastos e Ingresos 2030'!$A:$A, "&gt;="&amp;DATE(2030, 12, 1), 'Gastos e Ingresos 2030'!$A:$A, "&lt;"&amp;DATE(2030, 13, 1)), "")</f>
        <v/>
      </c>
      <c r="N14" s="75">
        <f>IF(COUNTIFS('Gastos e Ingresos 2030'!$A:$A, "&gt;="&amp;DATE(2030, 12, 1), 'Gastos e Ingresos 2030'!$A:$A, "&lt;"&amp;DATE(2030, 13, 1))&gt;0, SUMIFS('Gastos e Ingresos 2030'!$E:$E, 'Gastos e Ingresos 2030'!$D:$D, "Gasto", 'Gastos e Ingresos 2030'!$C:$C, N$2, 'Gastos e Ingresos 2030'!$A:$A, "&gt;="&amp;DATE(2030, 12, 1), 'Gastos e Ingresos 2030'!$A:$A, "&lt;"&amp;DATE(2030, 13, 1)), "")</f>
        <v/>
      </c>
      <c r="O14" s="75">
        <f>IF(COUNTIFS('Gastos e Ingresos 2030'!$A:$A, "&gt;="&amp;DATE(2030, 12, 1), 'Gastos e Ingresos 2030'!$A:$A, "&lt;"&amp;DATE(2030, 13, 1))&gt;0, SUMIFS('Gastos e Ingresos 2030'!$E:$E, 'Gastos e Ingresos 2030'!$D:$D, "Gasto", 'Gastos e Ingresos 2030'!$C:$C, O$2, 'Gastos e Ingresos 2030'!$A:$A, "&gt;="&amp;DATE(2030, 12, 1), 'Gastos e Ingresos 2030'!$A:$A, "&lt;"&amp;DATE(2030, 13, 1)), "")</f>
        <v/>
      </c>
      <c r="P14" s="75">
        <f>IF(COUNTIFS('Gastos e Ingresos 2030'!$A:$A, "&gt;="&amp;DATE(2030, 12, 1), 'Gastos e Ingresos 2030'!$A:$A, "&lt;"&amp;DATE(2030, 13, 1))&gt;0, SUMIFS('Gastos e Ingresos 2030'!$E:$E, 'Gastos e Ingresos 2030'!$D:$D, "Gasto", 'Gastos e Ingresos 2030'!$C:$C, P$2, 'Gastos e Ingresos 2030'!$A:$A, "&gt;="&amp;DATE(2030, 12, 1), 'Gastos e Ingresos 2030'!$A:$A, "&lt;"&amp;DATE(2030, 13, 1)), "")</f>
        <v/>
      </c>
      <c r="Q14" s="75">
        <f>IF(COUNTIFS('Gastos e Ingresos 2030'!$A:$A, "&gt;="&amp;DATE(2030, 12, 1), 'Gastos e Ingresos 2030'!$A:$A, "&lt;"&amp;DATE(2030, 13, 1))&gt;0, SUMIFS('Gastos e Ingresos 2030'!$E:$E, 'Gastos e Ingresos 2030'!$D:$D, "Gasto", 'Gastos e Ingresos 2030'!$C:$C, Q$2, 'Gastos e Ingresos 2030'!$A:$A, "&gt;="&amp;DATE(2030, 12, 1), 'Gastos e Ingresos 2030'!$A:$A, "&lt;"&amp;DATE(2030, 13, 1)), "")</f>
        <v/>
      </c>
      <c r="R14" s="75">
        <f>IF(COUNTIFS('Gastos e Ingresos 2030'!$A:$A, "&gt;="&amp;DATE(2030, 12, 1), 'Gastos e Ingresos 2030'!$A:$A, "&lt;"&amp;DATE(2030, 13, 1))&gt;0, SUMIFS('Gastos e Ingresos 2030'!$E:$E, 'Gastos e Ingresos 2030'!$D:$D, "Gasto", 'Gastos e Ingresos 2030'!$C:$C, R$2, 'Gastos e Ingresos 2030'!$A:$A, "&gt;="&amp;DATE(2030, 12, 1), 'Gastos e Ingresos 2030'!$A:$A, "&lt;"&amp;DATE(2030, 13, 1)), "")</f>
        <v/>
      </c>
    </row>
    <row r="15" ht="26" customHeight="1" s="18">
      <c r="A15" s="99" t="inlineStr">
        <is>
          <t>Total Anual</t>
        </is>
      </c>
      <c r="B15" s="86">
        <f>SUM(B3:B14)</f>
        <v/>
      </c>
      <c r="C15" s="86">
        <f>SUM(C3:C14)</f>
        <v/>
      </c>
      <c r="D15" s="86">
        <f>B15-C15</f>
        <v/>
      </c>
      <c r="E15" s="100">
        <f>IF(B15&gt;0, D15/B15, 0)</f>
        <v/>
      </c>
      <c r="F15" s="86">
        <f>SUM(F3:F14)</f>
        <v/>
      </c>
      <c r="G15" s="86">
        <f>SUM(G3:G14)</f>
        <v/>
      </c>
      <c r="H15" s="86">
        <f>SUM(H3:H14)</f>
        <v/>
      </c>
      <c r="I15" s="86">
        <f>SUM(I3:I14)</f>
        <v/>
      </c>
      <c r="J15" s="86">
        <f>SUM(J3:J14)</f>
        <v/>
      </c>
      <c r="K15" s="86">
        <f>SUM(K3:K14)</f>
        <v/>
      </c>
      <c r="L15" s="86">
        <f>SUM(L3:L14)</f>
        <v/>
      </c>
      <c r="M15" s="86">
        <f>SUM(M3:M14)</f>
        <v/>
      </c>
      <c r="N15" s="86">
        <f>SUM(N3:N14)</f>
        <v/>
      </c>
      <c r="O15" s="86">
        <f>SUM(O3:O14)</f>
        <v/>
      </c>
      <c r="P15" s="86">
        <f>SUM(P3:P14)</f>
        <v/>
      </c>
      <c r="Q15" s="86">
        <f>SUM(Q3:Q14)</f>
        <v/>
      </c>
      <c r="R15" s="86">
        <f>SUM(R3:R14)</f>
        <v/>
      </c>
    </row>
  </sheetData>
  <conditionalFormatting sqref="D3:D14">
    <cfRule type="cellIs" priority="1" operator="greaterThanOrEqual" dxfId="7">
      <formula>0</formula>
    </cfRule>
    <cfRule type="cellIs" priority="2" operator="lessThan" dxfId="8">
      <formula>0</formula>
    </cfRule>
    <cfRule type="cellIs" priority="1" operator="greaterThanOrEqual" dxfId="7">
      <formula>0</formula>
    </cfRule>
    <cfRule type="cellIs" priority="2" operator="lessThan" dxfId="8">
      <formula>0</formula>
    </cfRule>
  </conditionalFormatting>
  <conditionalFormatting sqref="D15">
    <cfRule type="cellIs" priority="1" operator="greaterThanOrEqual" dxfId="7">
      <formula>0</formula>
    </cfRule>
    <cfRule type="cellIs" priority="2" operator="lessThan" dxfId="8">
      <formula>0</formula>
    </cfRule>
    <cfRule type="cellIs" priority="1" operator="greaterThanOrEqual" dxfId="7">
      <formula>0</formula>
    </cfRule>
    <cfRule type="cellIs" priority="2" operator="lessThan" dxfId="8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9"/>
  <sheetViews>
    <sheetView showGridLines="1" workbookViewId="0">
      <selection activeCell="A1" sqref="A1"/>
    </sheetView>
  </sheetViews>
  <sheetFormatPr baseColWidth="8" defaultRowHeight="15" outlineLevelCol="0"/>
  <cols>
    <col width="18" customWidth="1" style="18" min="1" max="1"/>
    <col width="32" customWidth="1" style="18" min="2" max="2"/>
    <col width="24" customWidth="1" style="18" min="3" max="3"/>
    <col width="16" customWidth="1" style="18" min="4" max="4"/>
    <col width="20" customWidth="1" style="18" min="5" max="5"/>
  </cols>
  <sheetData>
    <row r="1" ht="30" customHeight="1" s="18">
      <c r="A1" s="65" t="inlineStr">
        <is>
          <t>Fecha</t>
        </is>
      </c>
      <c r="B1" s="65" t="inlineStr">
        <is>
          <t>Descripción</t>
        </is>
      </c>
      <c r="C1" s="65" t="inlineStr">
        <is>
          <t>Categoría</t>
        </is>
      </c>
      <c r="D1" s="65" t="inlineStr">
        <is>
          <t>Tipo</t>
        </is>
      </c>
      <c r="E1" s="65" t="inlineStr">
        <is>
          <t>Importe (€)</t>
        </is>
      </c>
    </row>
    <row r="2" ht="25" customHeight="1" s="18">
      <c r="A2" s="101" t="n"/>
      <c r="B2" s="89" t="n"/>
      <c r="C2" s="74" t="n"/>
      <c r="D2" s="74" t="n"/>
      <c r="E2" s="75" t="n"/>
    </row>
    <row r="3" ht="25" customHeight="1" s="18">
      <c r="A3" s="102" t="n"/>
      <c r="B3" s="66" t="n"/>
      <c r="C3" s="77" t="n"/>
      <c r="D3" s="77" t="n"/>
      <c r="E3" s="78" t="n"/>
    </row>
    <row r="4" ht="25" customHeight="1" s="18">
      <c r="A4" s="101" t="n"/>
      <c r="B4" s="89" t="n"/>
      <c r="C4" s="74" t="n"/>
      <c r="D4" s="74" t="n"/>
      <c r="E4" s="75" t="n"/>
    </row>
    <row r="5" ht="25" customHeight="1" s="18">
      <c r="A5" s="102" t="n"/>
      <c r="B5" s="66" t="n"/>
      <c r="C5" s="77" t="n"/>
      <c r="D5" s="77" t="n"/>
      <c r="E5" s="78" t="n"/>
    </row>
    <row r="6" ht="25" customHeight="1" s="18">
      <c r="A6" s="101" t="n"/>
      <c r="B6" s="89" t="n"/>
      <c r="C6" s="74" t="n"/>
      <c r="D6" s="74" t="n"/>
      <c r="E6" s="75" t="n"/>
    </row>
    <row r="7" ht="25" customHeight="1" s="18">
      <c r="A7" s="102" t="n"/>
      <c r="B7" s="66" t="n"/>
      <c r="C7" s="77" t="n"/>
      <c r="D7" s="77" t="n"/>
      <c r="E7" s="78" t="n"/>
    </row>
    <row r="8" ht="25" customHeight="1" s="18">
      <c r="A8" s="101" t="n"/>
      <c r="B8" s="89" t="n"/>
      <c r="C8" s="74" t="n"/>
      <c r="D8" s="74" t="n"/>
      <c r="E8" s="75" t="n"/>
    </row>
    <row r="9" ht="25" customHeight="1" s="18">
      <c r="A9" s="102" t="n"/>
      <c r="B9" s="66" t="n"/>
      <c r="C9" s="77" t="n"/>
      <c r="D9" s="77" t="n"/>
      <c r="E9" s="78" t="n"/>
    </row>
    <row r="10" ht="25" customHeight="1" s="18">
      <c r="A10" s="101" t="n"/>
      <c r="B10" s="89" t="n"/>
      <c r="C10" s="74" t="n"/>
      <c r="D10" s="74" t="n"/>
      <c r="E10" s="75" t="n"/>
    </row>
    <row r="11" ht="25" customHeight="1" s="18">
      <c r="A11" s="102" t="n"/>
      <c r="B11" s="66" t="n"/>
      <c r="C11" s="77" t="n"/>
      <c r="D11" s="77" t="n"/>
      <c r="E11" s="78" t="n"/>
    </row>
    <row r="12" ht="25" customHeight="1" s="18">
      <c r="A12" s="101" t="n"/>
      <c r="B12" s="89" t="n"/>
      <c r="C12" s="74" t="n"/>
      <c r="D12" s="74" t="n"/>
      <c r="E12" s="75" t="n"/>
    </row>
    <row r="13" ht="25" customHeight="1" s="18">
      <c r="A13" s="102" t="n"/>
      <c r="B13" s="66" t="n"/>
      <c r="C13" s="77" t="n"/>
      <c r="D13" s="77" t="n"/>
      <c r="E13" s="78" t="n"/>
    </row>
    <row r="14" ht="25" customHeight="1" s="18">
      <c r="A14" s="101" t="n"/>
      <c r="B14" s="89" t="n"/>
      <c r="C14" s="74" t="n"/>
      <c r="D14" s="74" t="n"/>
      <c r="E14" s="75" t="n"/>
    </row>
    <row r="15" ht="25" customHeight="1" s="18">
      <c r="A15" s="102" t="n"/>
      <c r="B15" s="66" t="n"/>
      <c r="C15" s="77" t="n"/>
      <c r="D15" s="77" t="n"/>
      <c r="E15" s="78" t="n"/>
    </row>
    <row r="16" ht="25" customHeight="1" s="18">
      <c r="A16" s="101" t="n"/>
      <c r="B16" s="89" t="n"/>
      <c r="C16" s="74" t="n"/>
      <c r="D16" s="74" t="n"/>
      <c r="E16" s="75" t="n"/>
    </row>
    <row r="17" ht="25" customHeight="1" s="18">
      <c r="A17" s="102" t="n"/>
      <c r="B17" s="66" t="n"/>
      <c r="C17" s="77" t="n"/>
      <c r="D17" s="77" t="n"/>
      <c r="E17" s="78" t="n"/>
    </row>
    <row r="18" ht="25" customHeight="1" s="18">
      <c r="A18" s="101" t="n"/>
      <c r="B18" s="89" t="n"/>
      <c r="C18" s="74" t="n"/>
      <c r="D18" s="74" t="n"/>
      <c r="E18" s="75" t="n"/>
    </row>
    <row r="19" ht="25" customHeight="1" s="18">
      <c r="A19" s="102" t="n"/>
      <c r="B19" s="66" t="n"/>
      <c r="C19" s="77" t="n"/>
      <c r="D19" s="77" t="n"/>
      <c r="E19" s="78" t="n"/>
    </row>
    <row r="20" ht="25" customHeight="1" s="18">
      <c r="A20" s="101" t="n"/>
      <c r="B20" s="89" t="n"/>
      <c r="C20" s="74" t="n"/>
      <c r="D20" s="74" t="n"/>
      <c r="E20" s="75" t="n"/>
    </row>
    <row r="21" ht="25" customHeight="1" s="18">
      <c r="A21" s="102" t="n"/>
      <c r="B21" s="66" t="n"/>
      <c r="C21" s="77" t="n"/>
      <c r="D21" s="77" t="n"/>
      <c r="E21" s="78" t="n"/>
    </row>
    <row r="22" ht="25" customHeight="1" s="18">
      <c r="A22" s="101" t="n"/>
      <c r="B22" s="89" t="n"/>
      <c r="C22" s="74" t="n"/>
      <c r="D22" s="74" t="n"/>
      <c r="E22" s="75" t="n"/>
    </row>
    <row r="23" ht="25" customHeight="1" s="18">
      <c r="A23" s="102" t="n"/>
      <c r="B23" s="66" t="n"/>
      <c r="C23" s="77" t="n"/>
      <c r="D23" s="77" t="n"/>
      <c r="E23" s="78" t="n"/>
    </row>
    <row r="24" ht="25" customHeight="1" s="18">
      <c r="A24" s="101" t="n"/>
      <c r="B24" s="89" t="n"/>
      <c r="C24" s="74" t="n"/>
      <c r="D24" s="74" t="n"/>
      <c r="E24" s="75" t="n"/>
    </row>
    <row r="25" ht="25" customHeight="1" s="18">
      <c r="A25" s="102" t="n"/>
      <c r="B25" s="66" t="n"/>
      <c r="C25" s="77" t="n"/>
      <c r="D25" s="77" t="n"/>
      <c r="E25" s="78" t="n"/>
    </row>
    <row r="26" ht="25" customHeight="1" s="18">
      <c r="A26" s="101" t="n"/>
      <c r="B26" s="89" t="n"/>
      <c r="C26" s="74" t="n"/>
      <c r="D26" s="74" t="n"/>
      <c r="E26" s="75" t="n"/>
    </row>
    <row r="27" ht="25" customHeight="1" s="18">
      <c r="A27" s="102" t="n"/>
      <c r="B27" s="66" t="n"/>
      <c r="C27" s="77" t="n"/>
      <c r="D27" s="77" t="n"/>
      <c r="E27" s="78" t="n"/>
    </row>
    <row r="28" ht="25" customHeight="1" s="18">
      <c r="A28" s="101" t="n"/>
      <c r="B28" s="89" t="n"/>
      <c r="C28" s="74" t="n"/>
      <c r="D28" s="74" t="n"/>
      <c r="E28" s="75" t="n"/>
    </row>
    <row r="29" ht="25" customHeight="1" s="18">
      <c r="A29" s="102" t="n"/>
      <c r="B29" s="66" t="n"/>
      <c r="C29" s="77" t="n"/>
      <c r="D29" s="77" t="n"/>
      <c r="E29" s="78" t="n"/>
    </row>
    <row r="30" ht="25" customHeight="1" s="18">
      <c r="A30" s="101" t="n"/>
      <c r="B30" s="89" t="n"/>
      <c r="C30" s="74" t="n"/>
      <c r="D30" s="74" t="n"/>
      <c r="E30" s="75" t="n"/>
    </row>
    <row r="31" ht="25" customHeight="1" s="18">
      <c r="A31" s="102" t="n"/>
      <c r="B31" s="66" t="n"/>
      <c r="C31" s="77" t="n"/>
      <c r="D31" s="77" t="n"/>
      <c r="E31" s="78" t="n"/>
    </row>
    <row r="32" ht="25" customHeight="1" s="18">
      <c r="A32" s="101" t="n"/>
      <c r="B32" s="89" t="n"/>
      <c r="C32" s="74" t="n"/>
      <c r="D32" s="74" t="n"/>
      <c r="E32" s="75" t="n"/>
    </row>
    <row r="33" ht="25" customHeight="1" s="18">
      <c r="A33" s="102" t="n"/>
      <c r="B33" s="66" t="n"/>
      <c r="C33" s="77" t="n"/>
      <c r="D33" s="77" t="n"/>
      <c r="E33" s="78" t="n"/>
    </row>
    <row r="34" ht="25" customHeight="1" s="18">
      <c r="A34" s="101" t="n"/>
      <c r="B34" s="89" t="n"/>
      <c r="C34" s="74" t="n"/>
      <c r="D34" s="74" t="n"/>
      <c r="E34" s="75" t="n"/>
    </row>
    <row r="35" ht="25" customHeight="1" s="18">
      <c r="A35" s="102" t="n"/>
      <c r="B35" s="66" t="n"/>
      <c r="C35" s="77" t="n"/>
      <c r="D35" s="77" t="n"/>
      <c r="E35" s="78" t="n"/>
    </row>
    <row r="36" ht="25" customHeight="1" s="18">
      <c r="A36" s="101" t="n"/>
      <c r="B36" s="89" t="n"/>
      <c r="C36" s="74" t="n"/>
      <c r="D36" s="74" t="n"/>
      <c r="E36" s="75" t="n"/>
    </row>
    <row r="37" ht="25" customHeight="1" s="18">
      <c r="A37" s="102" t="n"/>
      <c r="B37" s="66" t="n"/>
      <c r="C37" s="77" t="n"/>
      <c r="D37" s="77" t="n"/>
      <c r="E37" s="78" t="n"/>
    </row>
    <row r="38" ht="25" customHeight="1" s="18">
      <c r="A38" s="101" t="n"/>
      <c r="B38" s="89" t="n"/>
      <c r="C38" s="74" t="n"/>
      <c r="D38" s="74" t="n"/>
      <c r="E38" s="75" t="n"/>
    </row>
    <row r="39" ht="25" customHeight="1" s="18">
      <c r="A39" s="102" t="n"/>
      <c r="B39" s="66" t="n"/>
      <c r="C39" s="77" t="n"/>
      <c r="D39" s="77" t="n"/>
      <c r="E39" s="78" t="n"/>
    </row>
    <row r="40" ht="25" customHeight="1" s="18">
      <c r="A40" s="101" t="n"/>
      <c r="B40" s="89" t="n"/>
      <c r="C40" s="74" t="n"/>
      <c r="D40" s="74" t="n"/>
      <c r="E40" s="75" t="n"/>
    </row>
    <row r="41" ht="25" customHeight="1" s="18">
      <c r="A41" s="102" t="n"/>
      <c r="B41" s="66" t="n"/>
      <c r="C41" s="77" t="n"/>
      <c r="D41" s="77" t="n"/>
      <c r="E41" s="78" t="n"/>
    </row>
    <row r="42" ht="25" customHeight="1" s="18">
      <c r="A42" s="101" t="n"/>
      <c r="B42" s="89" t="n"/>
      <c r="C42" s="74" t="n"/>
      <c r="D42" s="74" t="n"/>
      <c r="E42" s="75" t="n"/>
    </row>
    <row r="43" ht="25" customHeight="1" s="18">
      <c r="A43" s="102" t="n"/>
      <c r="B43" s="66" t="n"/>
      <c r="C43" s="77" t="n"/>
      <c r="D43" s="77" t="n"/>
      <c r="E43" s="78" t="n"/>
    </row>
    <row r="44" ht="25" customHeight="1" s="18">
      <c r="A44" s="101" t="n"/>
      <c r="B44" s="89" t="n"/>
      <c r="C44" s="74" t="n"/>
      <c r="D44" s="74" t="n"/>
      <c r="E44" s="75" t="n"/>
    </row>
    <row r="45" ht="25" customHeight="1" s="18">
      <c r="A45" s="102" t="n"/>
      <c r="B45" s="66" t="n"/>
      <c r="C45" s="77" t="n"/>
      <c r="D45" s="77" t="n"/>
      <c r="E45" s="78" t="n"/>
    </row>
    <row r="46" ht="25" customHeight="1" s="18">
      <c r="A46" s="101" t="n"/>
      <c r="B46" s="89" t="n"/>
      <c r="C46" s="74" t="n"/>
      <c r="D46" s="74" t="n"/>
      <c r="E46" s="75" t="n"/>
    </row>
    <row r="47" ht="25" customHeight="1" s="18">
      <c r="A47" s="102" t="n"/>
      <c r="B47" s="66" t="n"/>
      <c r="C47" s="77" t="n"/>
      <c r="D47" s="77" t="n"/>
      <c r="E47" s="78" t="n"/>
    </row>
    <row r="48" ht="25" customHeight="1" s="18">
      <c r="A48" s="101" t="n"/>
      <c r="B48" s="89" t="n"/>
      <c r="C48" s="74" t="n"/>
      <c r="D48" s="74" t="n"/>
      <c r="E48" s="75" t="n"/>
    </row>
    <row r="49" ht="25" customHeight="1" s="18">
      <c r="A49" s="102" t="n"/>
      <c r="B49" s="66" t="n"/>
      <c r="C49" s="77" t="n"/>
      <c r="D49" s="77" t="n"/>
      <c r="E49" s="78" t="n"/>
    </row>
    <row r="50" ht="25" customHeight="1" s="18">
      <c r="A50" s="101" t="n"/>
      <c r="B50" s="89" t="n"/>
      <c r="C50" s="74" t="n"/>
      <c r="D50" s="74" t="n"/>
      <c r="E50" s="75" t="n"/>
    </row>
    <row r="51" ht="25" customHeight="1" s="18">
      <c r="A51" s="102" t="n"/>
      <c r="B51" s="66" t="n"/>
      <c r="C51" s="77" t="n"/>
      <c r="D51" s="77" t="n"/>
      <c r="E51" s="78" t="n"/>
    </row>
    <row r="52" ht="25" customHeight="1" s="18">
      <c r="A52" s="101" t="n"/>
      <c r="B52" s="89" t="n"/>
      <c r="C52" s="74" t="n"/>
      <c r="D52" s="74" t="n"/>
      <c r="E52" s="75" t="n"/>
    </row>
    <row r="53" ht="25" customHeight="1" s="18">
      <c r="A53" s="102" t="n"/>
      <c r="B53" s="66" t="n"/>
      <c r="C53" s="77" t="n"/>
      <c r="D53" s="77" t="n"/>
      <c r="E53" s="78" t="n"/>
    </row>
    <row r="54" ht="25" customHeight="1" s="18">
      <c r="A54" s="101" t="n"/>
      <c r="B54" s="89" t="n"/>
      <c r="C54" s="74" t="n"/>
      <c r="D54" s="74" t="n"/>
      <c r="E54" s="75" t="n"/>
    </row>
    <row r="55" ht="25" customHeight="1" s="18">
      <c r="A55" s="102" t="n"/>
      <c r="B55" s="66" t="n"/>
      <c r="C55" s="77" t="n"/>
      <c r="D55" s="77" t="n"/>
      <c r="E55" s="78" t="n"/>
    </row>
    <row r="56" ht="25" customHeight="1" s="18">
      <c r="A56" s="101" t="n"/>
      <c r="B56" s="89" t="n"/>
      <c r="C56" s="74" t="n"/>
      <c r="D56" s="74" t="n"/>
      <c r="E56" s="75" t="n"/>
    </row>
    <row r="57" ht="25" customHeight="1" s="18">
      <c r="A57" s="102" t="n"/>
      <c r="B57" s="66" t="n"/>
      <c r="C57" s="77" t="n"/>
      <c r="D57" s="77" t="n"/>
      <c r="E57" s="78" t="n"/>
    </row>
    <row r="58" ht="25" customHeight="1" s="18">
      <c r="A58" s="101" t="n"/>
      <c r="B58" s="89" t="n"/>
      <c r="C58" s="74" t="n"/>
      <c r="D58" s="74" t="n"/>
      <c r="E58" s="75" t="n"/>
    </row>
    <row r="59" ht="25" customHeight="1" s="18">
      <c r="A59" s="102" t="n"/>
      <c r="B59" s="66" t="n"/>
      <c r="C59" s="77" t="n"/>
      <c r="D59" s="77" t="n"/>
      <c r="E59" s="78" t="n"/>
    </row>
    <row r="60" ht="25" customHeight="1" s="18">
      <c r="A60" s="101" t="n"/>
      <c r="B60" s="89" t="n"/>
      <c r="C60" s="74" t="n"/>
      <c r="D60" s="74" t="n"/>
      <c r="E60" s="75" t="n"/>
    </row>
    <row r="61" ht="25" customHeight="1" s="18">
      <c r="A61" s="102" t="n"/>
      <c r="B61" s="66" t="n"/>
      <c r="C61" s="77" t="n"/>
      <c r="D61" s="77" t="n"/>
      <c r="E61" s="78" t="n"/>
    </row>
    <row r="62" ht="25" customHeight="1" s="18">
      <c r="A62" s="101" t="n"/>
      <c r="B62" s="89" t="n"/>
      <c r="C62" s="74" t="n"/>
      <c r="D62" s="74" t="n"/>
      <c r="E62" s="75" t="n"/>
    </row>
    <row r="63" ht="25" customHeight="1" s="18">
      <c r="A63" s="102" t="n"/>
      <c r="B63" s="66" t="n"/>
      <c r="C63" s="77" t="n"/>
      <c r="D63" s="77" t="n"/>
      <c r="E63" s="78" t="n"/>
    </row>
    <row r="64" ht="25" customHeight="1" s="18">
      <c r="A64" s="101" t="n"/>
      <c r="B64" s="89" t="n"/>
      <c r="C64" s="74" t="n"/>
      <c r="D64" s="74" t="n"/>
      <c r="E64" s="75" t="n"/>
    </row>
    <row r="65" ht="25" customHeight="1" s="18">
      <c r="A65" s="102" t="n"/>
      <c r="B65" s="66" t="n"/>
      <c r="C65" s="77" t="n"/>
      <c r="D65" s="77" t="n"/>
      <c r="E65" s="78" t="n"/>
    </row>
    <row r="66" ht="25" customHeight="1" s="18">
      <c r="A66" s="101" t="n"/>
      <c r="B66" s="89" t="n"/>
      <c r="C66" s="74" t="n"/>
      <c r="D66" s="74" t="n"/>
      <c r="E66" s="75" t="n"/>
    </row>
    <row r="67" ht="25" customHeight="1" s="18">
      <c r="A67" s="102" t="n"/>
      <c r="B67" s="66" t="n"/>
      <c r="C67" s="77" t="n"/>
      <c r="D67" s="77" t="n"/>
      <c r="E67" s="78" t="n"/>
    </row>
    <row r="68" ht="25" customHeight="1" s="18">
      <c r="A68" s="101" t="n"/>
      <c r="B68" s="89" t="n"/>
      <c r="C68" s="74" t="n"/>
      <c r="D68" s="74" t="n"/>
      <c r="E68" s="75" t="n"/>
    </row>
    <row r="69" ht="25" customHeight="1" s="18">
      <c r="A69" s="102" t="n"/>
      <c r="B69" s="66" t="n"/>
      <c r="C69" s="77" t="n"/>
      <c r="D69" s="77" t="n"/>
      <c r="E69" s="78" t="n"/>
    </row>
    <row r="70" ht="25" customHeight="1" s="18">
      <c r="A70" s="101" t="n"/>
      <c r="B70" s="89" t="n"/>
      <c r="C70" s="74" t="n"/>
      <c r="D70" s="74" t="n"/>
      <c r="E70" s="75" t="n"/>
    </row>
    <row r="71" ht="25" customHeight="1" s="18">
      <c r="A71" s="102" t="n"/>
      <c r="B71" s="66" t="n"/>
      <c r="C71" s="77" t="n"/>
      <c r="D71" s="77" t="n"/>
      <c r="E71" s="78" t="n"/>
    </row>
    <row r="72" ht="25" customHeight="1" s="18">
      <c r="A72" s="101" t="n"/>
      <c r="B72" s="89" t="n"/>
      <c r="C72" s="74" t="n"/>
      <c r="D72" s="74" t="n"/>
      <c r="E72" s="75" t="n"/>
    </row>
    <row r="73" ht="25" customHeight="1" s="18">
      <c r="A73" s="102" t="n"/>
      <c r="B73" s="66" t="n"/>
      <c r="C73" s="77" t="n"/>
      <c r="D73" s="77" t="n"/>
      <c r="E73" s="78" t="n"/>
    </row>
    <row r="74" ht="25" customHeight="1" s="18">
      <c r="A74" s="101" t="n"/>
      <c r="B74" s="89" t="n"/>
      <c r="C74" s="74" t="n"/>
      <c r="D74" s="74" t="n"/>
      <c r="E74" s="75" t="n"/>
    </row>
    <row r="75" ht="25" customHeight="1" s="18">
      <c r="A75" s="102" t="n"/>
      <c r="B75" s="66" t="n"/>
      <c r="C75" s="77" t="n"/>
      <c r="D75" s="77" t="n"/>
      <c r="E75" s="78" t="n"/>
    </row>
    <row r="76" ht="25" customHeight="1" s="18">
      <c r="A76" s="101" t="n"/>
      <c r="B76" s="89" t="n"/>
      <c r="C76" s="74" t="n"/>
      <c r="D76" s="74" t="n"/>
      <c r="E76" s="75" t="n"/>
    </row>
    <row r="77" ht="25" customHeight="1" s="18">
      <c r="A77" s="102" t="n"/>
      <c r="B77" s="66" t="n"/>
      <c r="C77" s="77" t="n"/>
      <c r="D77" s="77" t="n"/>
      <c r="E77" s="78" t="n"/>
    </row>
    <row r="78" ht="25" customHeight="1" s="18">
      <c r="A78" s="101" t="n"/>
      <c r="B78" s="89" t="n"/>
      <c r="C78" s="74" t="n"/>
      <c r="D78" s="74" t="n"/>
      <c r="E78" s="75" t="n"/>
    </row>
    <row r="79" ht="25" customHeight="1" s="18">
      <c r="A79" s="102" t="n"/>
      <c r="B79" s="66" t="n"/>
      <c r="C79" s="77" t="n"/>
      <c r="D79" s="77" t="n"/>
      <c r="E79" s="78" t="n"/>
    </row>
    <row r="80" ht="25" customHeight="1" s="18">
      <c r="A80" s="101" t="n"/>
      <c r="B80" s="89" t="n"/>
      <c r="C80" s="74" t="n"/>
      <c r="D80" s="74" t="n"/>
      <c r="E80" s="75" t="n"/>
    </row>
    <row r="81" ht="25" customHeight="1" s="18">
      <c r="A81" s="102" t="n"/>
      <c r="B81" s="66" t="n"/>
      <c r="C81" s="77" t="n"/>
      <c r="D81" s="77" t="n"/>
      <c r="E81" s="78" t="n"/>
    </row>
    <row r="82" ht="25" customHeight="1" s="18">
      <c r="A82" s="101" t="n"/>
      <c r="B82" s="89" t="n"/>
      <c r="C82" s="74" t="n"/>
      <c r="D82" s="74" t="n"/>
      <c r="E82" s="75" t="n"/>
    </row>
    <row r="83" ht="25" customHeight="1" s="18">
      <c r="A83" s="102" t="n"/>
      <c r="B83" s="66" t="n"/>
      <c r="C83" s="77" t="n"/>
      <c r="D83" s="77" t="n"/>
      <c r="E83" s="78" t="n"/>
    </row>
    <row r="84" ht="25" customHeight="1" s="18">
      <c r="A84" s="101" t="n"/>
      <c r="B84" s="89" t="n"/>
      <c r="C84" s="74" t="n"/>
      <c r="D84" s="74" t="n"/>
      <c r="E84" s="75" t="n"/>
    </row>
    <row r="85" ht="25" customHeight="1" s="18">
      <c r="A85" s="102" t="n"/>
      <c r="B85" s="66" t="n"/>
      <c r="C85" s="77" t="n"/>
      <c r="D85" s="77" t="n"/>
      <c r="E85" s="78" t="n"/>
    </row>
    <row r="86" ht="25" customHeight="1" s="18">
      <c r="A86" s="101" t="n"/>
      <c r="B86" s="89" t="n"/>
      <c r="C86" s="74" t="n"/>
      <c r="D86" s="74" t="n"/>
      <c r="E86" s="75" t="n"/>
    </row>
    <row r="87" ht="25" customHeight="1" s="18">
      <c r="A87" s="102" t="n"/>
      <c r="B87" s="66" t="n"/>
      <c r="C87" s="77" t="n"/>
      <c r="D87" s="77" t="n"/>
      <c r="E87" s="78" t="n"/>
    </row>
    <row r="88" ht="25" customHeight="1" s="18">
      <c r="A88" s="101" t="n"/>
      <c r="B88" s="89" t="n"/>
      <c r="C88" s="74" t="n"/>
      <c r="D88" s="74" t="n"/>
      <c r="E88" s="75" t="n"/>
    </row>
    <row r="89" ht="25" customHeight="1" s="18">
      <c r="A89" s="102" t="n"/>
      <c r="B89" s="66" t="n"/>
      <c r="C89" s="77" t="n"/>
      <c r="D89" s="77" t="n"/>
      <c r="E89" s="78" t="n"/>
    </row>
    <row r="90" ht="25" customHeight="1" s="18">
      <c r="A90" s="101" t="n"/>
      <c r="B90" s="89" t="n"/>
      <c r="C90" s="74" t="n"/>
      <c r="D90" s="74" t="n"/>
      <c r="E90" s="75" t="n"/>
    </row>
    <row r="91" ht="25" customHeight="1" s="18">
      <c r="A91" s="102" t="n"/>
      <c r="B91" s="66" t="n"/>
      <c r="C91" s="77" t="n"/>
      <c r="D91" s="77" t="n"/>
      <c r="E91" s="78" t="n"/>
    </row>
    <row r="92" ht="25" customHeight="1" s="18">
      <c r="A92" s="101" t="n"/>
      <c r="B92" s="89" t="n"/>
      <c r="C92" s="74" t="n"/>
      <c r="D92" s="74" t="n"/>
      <c r="E92" s="75" t="n"/>
    </row>
    <row r="93" ht="25" customHeight="1" s="18">
      <c r="A93" s="102" t="n"/>
      <c r="B93" s="66" t="n"/>
      <c r="C93" s="77" t="n"/>
      <c r="D93" s="77" t="n"/>
      <c r="E93" s="78" t="n"/>
    </row>
    <row r="94" ht="25" customHeight="1" s="18">
      <c r="A94" s="101" t="n"/>
      <c r="B94" s="89" t="n"/>
      <c r="C94" s="74" t="n"/>
      <c r="D94" s="74" t="n"/>
      <c r="E94" s="75" t="n"/>
    </row>
    <row r="95" ht="25" customHeight="1" s="18">
      <c r="A95" s="102" t="n"/>
      <c r="B95" s="66" t="n"/>
      <c r="C95" s="77" t="n"/>
      <c r="D95" s="77" t="n"/>
      <c r="E95" s="78" t="n"/>
    </row>
    <row r="96" ht="25" customHeight="1" s="18">
      <c r="A96" s="101" t="n"/>
      <c r="B96" s="89" t="n"/>
      <c r="C96" s="74" t="n"/>
      <c r="D96" s="74" t="n"/>
      <c r="E96" s="75" t="n"/>
    </row>
    <row r="97" ht="25" customHeight="1" s="18">
      <c r="A97" s="102" t="n"/>
      <c r="B97" s="66" t="n"/>
      <c r="C97" s="77" t="n"/>
      <c r="D97" s="77" t="n"/>
      <c r="E97" s="78" t="n"/>
    </row>
    <row r="98" ht="25" customHeight="1" s="18">
      <c r="A98" s="101" t="n"/>
      <c r="B98" s="89" t="n"/>
      <c r="C98" s="74" t="n"/>
      <c r="D98" s="74" t="n"/>
      <c r="E98" s="75" t="n"/>
    </row>
    <row r="99" ht="25" customHeight="1" s="18">
      <c r="A99" s="102" t="n"/>
      <c r="B99" s="66" t="n"/>
      <c r="C99" s="77" t="n"/>
      <c r="D99" s="77" t="n"/>
      <c r="E99" s="78" t="n"/>
    </row>
    <row r="100" ht="25" customHeight="1" s="18">
      <c r="A100" s="101" t="n"/>
      <c r="B100" s="89" t="n"/>
      <c r="C100" s="74" t="n"/>
      <c r="D100" s="74" t="n"/>
      <c r="E100" s="75" t="n"/>
    </row>
    <row r="101" ht="25" customHeight="1" s="18">
      <c r="A101" s="102" t="n"/>
      <c r="B101" s="66" t="n"/>
      <c r="C101" s="77" t="n"/>
      <c r="D101" s="77" t="n"/>
      <c r="E101" s="78" t="n"/>
    </row>
    <row r="102" ht="25" customHeight="1" s="18">
      <c r="A102" s="101" t="n"/>
      <c r="B102" s="89" t="n"/>
      <c r="C102" s="74" t="n"/>
      <c r="D102" s="74" t="n"/>
      <c r="E102" s="75" t="n"/>
    </row>
    <row r="103" ht="25" customHeight="1" s="18">
      <c r="A103" s="102" t="n"/>
      <c r="B103" s="66" t="n"/>
      <c r="C103" s="77" t="n"/>
      <c r="D103" s="77" t="n"/>
      <c r="E103" s="78" t="n"/>
    </row>
    <row r="104" ht="25" customHeight="1" s="18">
      <c r="A104" s="101" t="n"/>
      <c r="B104" s="89" t="n"/>
      <c r="C104" s="74" t="n"/>
      <c r="D104" s="74" t="n"/>
      <c r="E104" s="75" t="n"/>
    </row>
    <row r="105" ht="25" customHeight="1" s="18">
      <c r="A105" s="102" t="n"/>
      <c r="B105" s="66" t="n"/>
      <c r="C105" s="77" t="n"/>
      <c r="D105" s="77" t="n"/>
      <c r="E105" s="78" t="n"/>
    </row>
    <row r="106" ht="25" customHeight="1" s="18">
      <c r="A106" s="101" t="n"/>
      <c r="B106" s="89" t="n"/>
      <c r="C106" s="74" t="n"/>
      <c r="D106" s="74" t="n"/>
      <c r="E106" s="75" t="n"/>
    </row>
    <row r="107" ht="25" customHeight="1" s="18">
      <c r="A107" s="102" t="n"/>
      <c r="B107" s="66" t="n"/>
      <c r="C107" s="77" t="n"/>
      <c r="D107" s="77" t="n"/>
      <c r="E107" s="78" t="n"/>
    </row>
    <row r="108" ht="25" customHeight="1" s="18">
      <c r="A108" s="101" t="n"/>
      <c r="B108" s="89" t="n"/>
      <c r="C108" s="74" t="n"/>
      <c r="D108" s="74" t="n"/>
      <c r="E108" s="75" t="n"/>
    </row>
    <row r="109" ht="25" customHeight="1" s="18">
      <c r="A109" s="102" t="n"/>
      <c r="B109" s="66" t="n"/>
      <c r="C109" s="77" t="n"/>
      <c r="D109" s="77" t="n"/>
      <c r="E109" s="78" t="n"/>
    </row>
    <row r="110" ht="25" customHeight="1" s="18">
      <c r="A110" s="101" t="n"/>
      <c r="B110" s="89" t="n"/>
      <c r="C110" s="74" t="n"/>
      <c r="D110" s="74" t="n"/>
      <c r="E110" s="75" t="n"/>
    </row>
    <row r="111" ht="25" customHeight="1" s="18">
      <c r="A111" s="102" t="n"/>
      <c r="B111" s="66" t="n"/>
      <c r="C111" s="77" t="n"/>
      <c r="D111" s="77" t="n"/>
      <c r="E111" s="78" t="n"/>
    </row>
    <row r="112" ht="25" customHeight="1" s="18">
      <c r="A112" s="101" t="n"/>
      <c r="B112" s="89" t="n"/>
      <c r="C112" s="74" t="n"/>
      <c r="D112" s="74" t="n"/>
      <c r="E112" s="75" t="n"/>
    </row>
    <row r="113" ht="25" customHeight="1" s="18">
      <c r="A113" s="102" t="n"/>
      <c r="B113" s="66" t="n"/>
      <c r="C113" s="77" t="n"/>
      <c r="D113" s="77" t="n"/>
      <c r="E113" s="78" t="n"/>
    </row>
    <row r="114" ht="25" customHeight="1" s="18">
      <c r="A114" s="101" t="n"/>
      <c r="B114" s="89" t="n"/>
      <c r="C114" s="74" t="n"/>
      <c r="D114" s="74" t="n"/>
      <c r="E114" s="75" t="n"/>
    </row>
    <row r="115" ht="25" customHeight="1" s="18">
      <c r="A115" s="102" t="n"/>
      <c r="B115" s="66" t="n"/>
      <c r="C115" s="77" t="n"/>
      <c r="D115" s="77" t="n"/>
      <c r="E115" s="78" t="n"/>
    </row>
    <row r="116" ht="25" customHeight="1" s="18">
      <c r="A116" s="101" t="n"/>
      <c r="B116" s="89" t="n"/>
      <c r="C116" s="74" t="n"/>
      <c r="D116" s="74" t="n"/>
      <c r="E116" s="75" t="n"/>
    </row>
    <row r="117" ht="25" customHeight="1" s="18">
      <c r="A117" s="102" t="n"/>
      <c r="B117" s="66" t="n"/>
      <c r="C117" s="77" t="n"/>
      <c r="D117" s="77" t="n"/>
      <c r="E117" s="78" t="n"/>
    </row>
    <row r="118" ht="25" customHeight="1" s="18">
      <c r="A118" s="101" t="n"/>
      <c r="B118" s="89" t="n"/>
      <c r="C118" s="74" t="n"/>
      <c r="D118" s="74" t="n"/>
      <c r="E118" s="75" t="n"/>
    </row>
    <row r="119" ht="25" customHeight="1" s="18">
      <c r="A119" s="102" t="n"/>
      <c r="B119" s="66" t="n"/>
      <c r="C119" s="77" t="n"/>
      <c r="D119" s="77" t="n"/>
      <c r="E119" s="78" t="n"/>
    </row>
    <row r="120" ht="25" customHeight="1" s="18">
      <c r="A120" s="101" t="n"/>
      <c r="B120" s="89" t="n"/>
      <c r="C120" s="74" t="n"/>
      <c r="D120" s="74" t="n"/>
      <c r="E120" s="75" t="n"/>
    </row>
    <row r="121" ht="25" customHeight="1" s="18">
      <c r="A121" s="102" t="n"/>
      <c r="B121" s="66" t="n"/>
      <c r="C121" s="77" t="n"/>
      <c r="D121" s="77" t="n"/>
      <c r="E121" s="78" t="n"/>
    </row>
    <row r="122" ht="25" customHeight="1" s="18">
      <c r="A122" s="101" t="n"/>
      <c r="B122" s="89" t="n"/>
      <c r="C122" s="74" t="n"/>
      <c r="D122" s="74" t="n"/>
      <c r="E122" s="75" t="n"/>
    </row>
    <row r="123" ht="25" customHeight="1" s="18">
      <c r="A123" s="102" t="n"/>
      <c r="B123" s="66" t="n"/>
      <c r="C123" s="77" t="n"/>
      <c r="D123" s="77" t="n"/>
      <c r="E123" s="78" t="n"/>
    </row>
    <row r="124" ht="25" customHeight="1" s="18">
      <c r="A124" s="101" t="n"/>
      <c r="B124" s="89" t="n"/>
      <c r="C124" s="74" t="n"/>
      <c r="D124" s="74" t="n"/>
      <c r="E124" s="75" t="n"/>
    </row>
    <row r="125" ht="25" customHeight="1" s="18">
      <c r="A125" s="102" t="n"/>
      <c r="B125" s="66" t="n"/>
      <c r="C125" s="77" t="n"/>
      <c r="D125" s="77" t="n"/>
      <c r="E125" s="78" t="n"/>
    </row>
    <row r="126" ht="25" customHeight="1" s="18">
      <c r="A126" s="101" t="n"/>
      <c r="B126" s="89" t="n"/>
      <c r="C126" s="74" t="n"/>
      <c r="D126" s="74" t="n"/>
      <c r="E126" s="75" t="n"/>
    </row>
    <row r="127" ht="25" customHeight="1" s="18">
      <c r="A127" s="102" t="n"/>
      <c r="B127" s="66" t="n"/>
      <c r="C127" s="77" t="n"/>
      <c r="D127" s="77" t="n"/>
      <c r="E127" s="78" t="n"/>
    </row>
    <row r="128" ht="25" customHeight="1" s="18">
      <c r="A128" s="101" t="n"/>
      <c r="B128" s="89" t="n"/>
      <c r="C128" s="74" t="n"/>
      <c r="D128" s="74" t="n"/>
      <c r="E128" s="75" t="n"/>
    </row>
    <row r="129" ht="25" customHeight="1" s="18">
      <c r="A129" s="102" t="n"/>
      <c r="B129" s="66" t="n"/>
      <c r="C129" s="77" t="n"/>
      <c r="D129" s="77" t="n"/>
      <c r="E129" s="78" t="n"/>
    </row>
    <row r="130" ht="25" customHeight="1" s="18">
      <c r="A130" s="101" t="n"/>
      <c r="B130" s="89" t="n"/>
      <c r="C130" s="74" t="n"/>
      <c r="D130" s="74" t="n"/>
      <c r="E130" s="75" t="n"/>
    </row>
    <row r="131" ht="25" customHeight="1" s="18">
      <c r="A131" s="102" t="n"/>
      <c r="B131" s="66" t="n"/>
      <c r="C131" s="77" t="n"/>
      <c r="D131" s="77" t="n"/>
      <c r="E131" s="78" t="n"/>
    </row>
    <row r="132" ht="25" customHeight="1" s="18">
      <c r="A132" s="101" t="n"/>
      <c r="B132" s="89" t="n"/>
      <c r="C132" s="74" t="n"/>
      <c r="D132" s="74" t="n"/>
      <c r="E132" s="75" t="n"/>
    </row>
    <row r="133" ht="25" customHeight="1" s="18">
      <c r="A133" s="102" t="n"/>
      <c r="B133" s="66" t="n"/>
      <c r="C133" s="77" t="n"/>
      <c r="D133" s="77" t="n"/>
      <c r="E133" s="78" t="n"/>
    </row>
    <row r="134" ht="25" customHeight="1" s="18">
      <c r="A134" s="101" t="n"/>
      <c r="B134" s="89" t="n"/>
      <c r="C134" s="74" t="n"/>
      <c r="D134" s="74" t="n"/>
      <c r="E134" s="75" t="n"/>
    </row>
    <row r="135" ht="25" customHeight="1" s="18">
      <c r="A135" s="102" t="n"/>
      <c r="B135" s="66" t="n"/>
      <c r="C135" s="77" t="n"/>
      <c r="D135" s="77" t="n"/>
      <c r="E135" s="78" t="n"/>
    </row>
    <row r="136" ht="25" customHeight="1" s="18">
      <c r="A136" s="101" t="n"/>
      <c r="B136" s="89" t="n"/>
      <c r="C136" s="74" t="n"/>
      <c r="D136" s="74" t="n"/>
      <c r="E136" s="75" t="n"/>
    </row>
    <row r="137" ht="25" customHeight="1" s="18">
      <c r="A137" s="102" t="n"/>
      <c r="B137" s="66" t="n"/>
      <c r="C137" s="77" t="n"/>
      <c r="D137" s="77" t="n"/>
      <c r="E137" s="78" t="n"/>
    </row>
    <row r="138" ht="25" customHeight="1" s="18">
      <c r="A138" s="101" t="n"/>
      <c r="B138" s="89" t="n"/>
      <c r="C138" s="74" t="n"/>
      <c r="D138" s="74" t="n"/>
      <c r="E138" s="75" t="n"/>
    </row>
    <row r="139" ht="25" customHeight="1" s="18">
      <c r="A139" s="102" t="n"/>
      <c r="B139" s="66" t="n"/>
      <c r="C139" s="77" t="n"/>
      <c r="D139" s="77" t="n"/>
      <c r="E139" s="78" t="n"/>
    </row>
    <row r="140" ht="25" customHeight="1" s="18">
      <c r="A140" s="101" t="n"/>
      <c r="B140" s="89" t="n"/>
      <c r="C140" s="74" t="n"/>
      <c r="D140" s="74" t="n"/>
      <c r="E140" s="75" t="n"/>
    </row>
    <row r="141" ht="25" customHeight="1" s="18">
      <c r="A141" s="102" t="n"/>
      <c r="B141" s="66" t="n"/>
      <c r="C141" s="77" t="n"/>
      <c r="D141" s="77" t="n"/>
      <c r="E141" s="78" t="n"/>
    </row>
    <row r="142" ht="25" customHeight="1" s="18">
      <c r="A142" s="101" t="n"/>
      <c r="B142" s="89" t="n"/>
      <c r="C142" s="74" t="n"/>
      <c r="D142" s="74" t="n"/>
      <c r="E142" s="75" t="n"/>
    </row>
    <row r="143" ht="25" customHeight="1" s="18">
      <c r="A143" s="102" t="n"/>
      <c r="B143" s="66" t="n"/>
      <c r="C143" s="77" t="n"/>
      <c r="D143" s="77" t="n"/>
      <c r="E143" s="78" t="n"/>
    </row>
    <row r="144" ht="25" customHeight="1" s="18">
      <c r="A144" s="101" t="n"/>
      <c r="B144" s="89" t="n"/>
      <c r="C144" s="74" t="n"/>
      <c r="D144" s="74" t="n"/>
      <c r="E144" s="75" t="n"/>
    </row>
    <row r="145" ht="25" customHeight="1" s="18">
      <c r="A145" s="102" t="n"/>
      <c r="B145" s="66" t="n"/>
      <c r="C145" s="77" t="n"/>
      <c r="D145" s="77" t="n"/>
      <c r="E145" s="78" t="n"/>
    </row>
    <row r="146" ht="25" customHeight="1" s="18">
      <c r="A146" s="101" t="n"/>
      <c r="B146" s="89" t="n"/>
      <c r="C146" s="74" t="n"/>
      <c r="D146" s="74" t="n"/>
      <c r="E146" s="75" t="n"/>
    </row>
    <row r="147" ht="25" customHeight="1" s="18">
      <c r="A147" s="102" t="n"/>
      <c r="B147" s="66" t="n"/>
      <c r="C147" s="77" t="n"/>
      <c r="D147" s="77" t="n"/>
      <c r="E147" s="78" t="n"/>
    </row>
    <row r="148" ht="25" customHeight="1" s="18">
      <c r="A148" s="101" t="n"/>
      <c r="B148" s="89" t="n"/>
      <c r="C148" s="74" t="n"/>
      <c r="D148" s="74" t="n"/>
      <c r="E148" s="75" t="n"/>
    </row>
    <row r="149" ht="25" customHeight="1" s="18">
      <c r="A149" s="102" t="n"/>
      <c r="B149" s="66" t="n"/>
      <c r="C149" s="77" t="n"/>
      <c r="D149" s="77" t="n"/>
      <c r="E149" s="78" t="n"/>
    </row>
    <row r="150" ht="25" customHeight="1" s="18">
      <c r="A150" s="101" t="n"/>
      <c r="B150" s="89" t="n"/>
      <c r="C150" s="74" t="n"/>
      <c r="D150" s="74" t="n"/>
      <c r="E150" s="75" t="n"/>
    </row>
    <row r="151" ht="25" customHeight="1" s="18">
      <c r="A151" s="102" t="n"/>
      <c r="B151" s="66" t="n"/>
      <c r="C151" s="77" t="n"/>
      <c r="D151" s="77" t="n"/>
      <c r="E151" s="78" t="n"/>
    </row>
    <row r="152" ht="25" customHeight="1" s="18">
      <c r="A152" s="101" t="n"/>
      <c r="B152" s="89" t="n"/>
      <c r="C152" s="74" t="n"/>
      <c r="D152" s="74" t="n"/>
      <c r="E152" s="75" t="n"/>
    </row>
    <row r="153" ht="25" customHeight="1" s="18">
      <c r="A153" s="102" t="n"/>
      <c r="B153" s="66" t="n"/>
      <c r="C153" s="77" t="n"/>
      <c r="D153" s="77" t="n"/>
      <c r="E153" s="78" t="n"/>
    </row>
    <row r="154" ht="25" customHeight="1" s="18">
      <c r="A154" s="101" t="n"/>
      <c r="B154" s="89" t="n"/>
      <c r="C154" s="74" t="n"/>
      <c r="D154" s="74" t="n"/>
      <c r="E154" s="75" t="n"/>
    </row>
    <row r="155" ht="25" customHeight="1" s="18">
      <c r="A155" s="102" t="n"/>
      <c r="B155" s="66" t="n"/>
      <c r="C155" s="77" t="n"/>
      <c r="D155" s="77" t="n"/>
      <c r="E155" s="78" t="n"/>
    </row>
    <row r="156" ht="25" customHeight="1" s="18">
      <c r="A156" s="101" t="n"/>
      <c r="B156" s="89" t="n"/>
      <c r="C156" s="74" t="n"/>
      <c r="D156" s="74" t="n"/>
      <c r="E156" s="75" t="n"/>
    </row>
    <row r="157" ht="25" customHeight="1" s="18">
      <c r="A157" s="102" t="n"/>
      <c r="B157" s="66" t="n"/>
      <c r="C157" s="77" t="n"/>
      <c r="D157" s="77" t="n"/>
      <c r="E157" s="78" t="n"/>
    </row>
    <row r="158" ht="25" customHeight="1" s="18">
      <c r="A158" s="101" t="n"/>
      <c r="B158" s="89" t="n"/>
      <c r="C158" s="74" t="n"/>
      <c r="D158" s="74" t="n"/>
      <c r="E158" s="75" t="n"/>
    </row>
    <row r="159" ht="25" customHeight="1" s="18">
      <c r="A159" s="102" t="n"/>
      <c r="B159" s="66" t="n"/>
      <c r="C159" s="77" t="n"/>
      <c r="D159" s="77" t="n"/>
      <c r="E159" s="78" t="n"/>
    </row>
    <row r="160" ht="25" customHeight="1" s="18">
      <c r="A160" s="101" t="n"/>
      <c r="B160" s="89" t="n"/>
      <c r="C160" s="74" t="n"/>
      <c r="D160" s="74" t="n"/>
      <c r="E160" s="75" t="n"/>
    </row>
    <row r="161" ht="25" customHeight="1" s="18">
      <c r="A161" s="102" t="n"/>
      <c r="B161" s="66" t="n"/>
      <c r="C161" s="77" t="n"/>
      <c r="D161" s="77" t="n"/>
      <c r="E161" s="78" t="n"/>
    </row>
    <row r="162" ht="25" customHeight="1" s="18">
      <c r="A162" s="101" t="n"/>
      <c r="B162" s="89" t="n"/>
      <c r="C162" s="74" t="n"/>
      <c r="D162" s="74" t="n"/>
      <c r="E162" s="75" t="n"/>
    </row>
    <row r="163" ht="25" customHeight="1" s="18">
      <c r="A163" s="102" t="n"/>
      <c r="B163" s="66" t="n"/>
      <c r="C163" s="77" t="n"/>
      <c r="D163" s="77" t="n"/>
      <c r="E163" s="78" t="n"/>
    </row>
    <row r="164" ht="25" customHeight="1" s="18">
      <c r="A164" s="101" t="n"/>
      <c r="B164" s="89" t="n"/>
      <c r="C164" s="74" t="n"/>
      <c r="D164" s="74" t="n"/>
      <c r="E164" s="75" t="n"/>
    </row>
    <row r="165" ht="25" customHeight="1" s="18">
      <c r="A165" s="102" t="n"/>
      <c r="B165" s="66" t="n"/>
      <c r="C165" s="77" t="n"/>
      <c r="D165" s="77" t="n"/>
      <c r="E165" s="78" t="n"/>
    </row>
    <row r="166" ht="25" customHeight="1" s="18">
      <c r="A166" s="101" t="n"/>
      <c r="B166" s="89" t="n"/>
      <c r="C166" s="74" t="n"/>
      <c r="D166" s="74" t="n"/>
      <c r="E166" s="75" t="n"/>
    </row>
    <row r="167" ht="25" customHeight="1" s="18">
      <c r="A167" s="102" t="n"/>
      <c r="B167" s="66" t="n"/>
      <c r="C167" s="77" t="n"/>
      <c r="D167" s="77" t="n"/>
      <c r="E167" s="78" t="n"/>
    </row>
    <row r="168" ht="25" customHeight="1" s="18">
      <c r="A168" s="101" t="n"/>
      <c r="B168" s="89" t="n"/>
      <c r="C168" s="74" t="n"/>
      <c r="D168" s="74" t="n"/>
      <c r="E168" s="75" t="n"/>
    </row>
    <row r="169" ht="25" customHeight="1" s="18">
      <c r="A169" s="102" t="n"/>
      <c r="B169" s="66" t="n"/>
      <c r="C169" s="77" t="n"/>
      <c r="D169" s="77" t="n"/>
      <c r="E169" s="78" t="n"/>
    </row>
    <row r="170" ht="25" customHeight="1" s="18">
      <c r="A170" s="101" t="n"/>
      <c r="B170" s="89" t="n"/>
      <c r="C170" s="74" t="n"/>
      <c r="D170" s="74" t="n"/>
      <c r="E170" s="75" t="n"/>
    </row>
    <row r="171" ht="25" customHeight="1" s="18">
      <c r="A171" s="102" t="n"/>
      <c r="B171" s="66" t="n"/>
      <c r="C171" s="77" t="n"/>
      <c r="D171" s="77" t="n"/>
      <c r="E171" s="78" t="n"/>
    </row>
    <row r="172" ht="25" customHeight="1" s="18">
      <c r="A172" s="101" t="n"/>
      <c r="B172" s="89" t="n"/>
      <c r="C172" s="74" t="n"/>
      <c r="D172" s="74" t="n"/>
      <c r="E172" s="75" t="n"/>
    </row>
    <row r="173" ht="25" customHeight="1" s="18">
      <c r="A173" s="102" t="n"/>
      <c r="B173" s="66" t="n"/>
      <c r="C173" s="77" t="n"/>
      <c r="D173" s="77" t="n"/>
      <c r="E173" s="78" t="n"/>
    </row>
    <row r="174" ht="25" customHeight="1" s="18">
      <c r="A174" s="101" t="n"/>
      <c r="B174" s="89" t="n"/>
      <c r="C174" s="74" t="n"/>
      <c r="D174" s="74" t="n"/>
      <c r="E174" s="75" t="n"/>
    </row>
    <row r="175" ht="25" customHeight="1" s="18">
      <c r="A175" s="102" t="n"/>
      <c r="B175" s="66" t="n"/>
      <c r="C175" s="77" t="n"/>
      <c r="D175" s="77" t="n"/>
      <c r="E175" s="78" t="n"/>
    </row>
    <row r="176" ht="25" customHeight="1" s="18">
      <c r="A176" s="101" t="n"/>
      <c r="B176" s="89" t="n"/>
      <c r="C176" s="74" t="n"/>
      <c r="D176" s="74" t="n"/>
      <c r="E176" s="75" t="n"/>
    </row>
    <row r="177" ht="25" customHeight="1" s="18">
      <c r="A177" s="102" t="n"/>
      <c r="B177" s="66" t="n"/>
      <c r="C177" s="77" t="n"/>
      <c r="D177" s="77" t="n"/>
      <c r="E177" s="78" t="n"/>
    </row>
    <row r="178" ht="25" customHeight="1" s="18">
      <c r="A178" s="101" t="n"/>
      <c r="B178" s="89" t="n"/>
      <c r="C178" s="74" t="n"/>
      <c r="D178" s="74" t="n"/>
      <c r="E178" s="75" t="n"/>
    </row>
    <row r="179" ht="25" customHeight="1" s="18">
      <c r="A179" s="102" t="n"/>
      <c r="B179" s="66" t="n"/>
      <c r="C179" s="77" t="n"/>
      <c r="D179" s="77" t="n"/>
      <c r="E179" s="78" t="n"/>
    </row>
    <row r="180" ht="25" customHeight="1" s="18">
      <c r="A180" s="101" t="n"/>
      <c r="B180" s="89" t="n"/>
      <c r="C180" s="74" t="n"/>
      <c r="D180" s="74" t="n"/>
      <c r="E180" s="75" t="n"/>
    </row>
    <row r="181" ht="25" customHeight="1" s="18">
      <c r="A181" s="102" t="n"/>
      <c r="B181" s="66" t="n"/>
      <c r="C181" s="77" t="n"/>
      <c r="D181" s="77" t="n"/>
      <c r="E181" s="78" t="n"/>
    </row>
    <row r="182" ht="25" customHeight="1" s="18">
      <c r="A182" s="101" t="n"/>
      <c r="B182" s="89" t="n"/>
      <c r="C182" s="74" t="n"/>
      <c r="D182" s="74" t="n"/>
      <c r="E182" s="75" t="n"/>
    </row>
    <row r="183" ht="25" customHeight="1" s="18">
      <c r="A183" s="102" t="n"/>
      <c r="B183" s="66" t="n"/>
      <c r="C183" s="77" t="n"/>
      <c r="D183" s="77" t="n"/>
      <c r="E183" s="78" t="n"/>
    </row>
    <row r="184" ht="25" customHeight="1" s="18">
      <c r="A184" s="101" t="n"/>
      <c r="B184" s="89" t="n"/>
      <c r="C184" s="74" t="n"/>
      <c r="D184" s="74" t="n"/>
      <c r="E184" s="75" t="n"/>
    </row>
    <row r="185" ht="25" customHeight="1" s="18">
      <c r="A185" s="102" t="n"/>
      <c r="B185" s="66" t="n"/>
      <c r="C185" s="77" t="n"/>
      <c r="D185" s="77" t="n"/>
      <c r="E185" s="78" t="n"/>
    </row>
    <row r="186" ht="25" customHeight="1" s="18">
      <c r="A186" s="101" t="n"/>
      <c r="B186" s="89" t="n"/>
      <c r="C186" s="74" t="n"/>
      <c r="D186" s="74" t="n"/>
      <c r="E186" s="75" t="n"/>
    </row>
    <row r="187" ht="25" customHeight="1" s="18">
      <c r="A187" s="102" t="n"/>
      <c r="B187" s="66" t="n"/>
      <c r="C187" s="77" t="n"/>
      <c r="D187" s="77" t="n"/>
      <c r="E187" s="78" t="n"/>
    </row>
    <row r="188" ht="25" customHeight="1" s="18">
      <c r="A188" s="101" t="n"/>
      <c r="B188" s="89" t="n"/>
      <c r="C188" s="74" t="n"/>
      <c r="D188" s="74" t="n"/>
      <c r="E188" s="75" t="n"/>
    </row>
    <row r="189" ht="25" customHeight="1" s="18">
      <c r="A189" s="102" t="n"/>
      <c r="B189" s="66" t="n"/>
      <c r="C189" s="77" t="n"/>
      <c r="D189" s="77" t="n"/>
      <c r="E189" s="78" t="n"/>
    </row>
    <row r="190" ht="25" customHeight="1" s="18">
      <c r="A190" s="101" t="n"/>
      <c r="B190" s="89" t="n"/>
      <c r="C190" s="74" t="n"/>
      <c r="D190" s="74" t="n"/>
      <c r="E190" s="75" t="n"/>
    </row>
    <row r="191" ht="25" customHeight="1" s="18">
      <c r="A191" s="102" t="n"/>
      <c r="B191" s="66" t="n"/>
      <c r="C191" s="77" t="n"/>
      <c r="D191" s="77" t="n"/>
      <c r="E191" s="78" t="n"/>
    </row>
    <row r="192" ht="25" customHeight="1" s="18">
      <c r="A192" s="101" t="n"/>
      <c r="B192" s="89" t="n"/>
      <c r="C192" s="74" t="n"/>
      <c r="D192" s="74" t="n"/>
      <c r="E192" s="75" t="n"/>
    </row>
    <row r="193" ht="25" customHeight="1" s="18">
      <c r="A193" s="102" t="n"/>
      <c r="B193" s="66" t="n"/>
      <c r="C193" s="77" t="n"/>
      <c r="D193" s="77" t="n"/>
      <c r="E193" s="78" t="n"/>
    </row>
    <row r="194" ht="25" customHeight="1" s="18">
      <c r="A194" s="101" t="n"/>
      <c r="B194" s="89" t="n"/>
      <c r="C194" s="74" t="n"/>
      <c r="D194" s="74" t="n"/>
      <c r="E194" s="75" t="n"/>
    </row>
    <row r="195" ht="25" customHeight="1" s="18">
      <c r="A195" s="102" t="n"/>
      <c r="B195" s="66" t="n"/>
      <c r="C195" s="77" t="n"/>
      <c r="D195" s="77" t="n"/>
      <c r="E195" s="78" t="n"/>
    </row>
    <row r="196" ht="25" customHeight="1" s="18">
      <c r="A196" s="101" t="n"/>
      <c r="B196" s="89" t="n"/>
      <c r="C196" s="74" t="n"/>
      <c r="D196" s="74" t="n"/>
      <c r="E196" s="75" t="n"/>
    </row>
    <row r="197" ht="25" customHeight="1" s="18">
      <c r="A197" s="102" t="n"/>
      <c r="B197" s="66" t="n"/>
      <c r="C197" s="77" t="n"/>
      <c r="D197" s="77" t="n"/>
      <c r="E197" s="78" t="n"/>
    </row>
    <row r="198" ht="25" customHeight="1" s="18">
      <c r="A198" s="101" t="n"/>
      <c r="B198" s="89" t="n"/>
      <c r="C198" s="74" t="n"/>
      <c r="D198" s="74" t="n"/>
      <c r="E198" s="75" t="n"/>
    </row>
    <row r="199" ht="25" customHeight="1" s="18">
      <c r="A199" s="102" t="n"/>
      <c r="B199" s="66" t="n"/>
      <c r="C199" s="77" t="n"/>
      <c r="D199" s="77" t="n"/>
      <c r="E199" s="78" t="n"/>
    </row>
    <row r="200" ht="25" customHeight="1" s="18">
      <c r="A200" s="101" t="n"/>
      <c r="B200" s="89" t="n"/>
      <c r="C200" s="74" t="n"/>
      <c r="D200" s="74" t="n"/>
      <c r="E200" s="75" t="n"/>
    </row>
    <row r="201" ht="25" customHeight="1" s="18">
      <c r="A201" s="102" t="n"/>
      <c r="B201" s="66" t="n"/>
      <c r="C201" s="77" t="n"/>
      <c r="D201" s="77" t="n"/>
      <c r="E201" s="78" t="n"/>
    </row>
    <row r="202" ht="25" customHeight="1" s="18">
      <c r="A202" s="101" t="n"/>
      <c r="B202" s="89" t="n"/>
      <c r="C202" s="74" t="n"/>
      <c r="D202" s="74" t="n"/>
      <c r="E202" s="75" t="n"/>
    </row>
    <row r="203" ht="25" customHeight="1" s="18">
      <c r="A203" s="102" t="n"/>
      <c r="B203" s="66" t="n"/>
      <c r="C203" s="77" t="n"/>
      <c r="D203" s="77" t="n"/>
      <c r="E203" s="78" t="n"/>
    </row>
    <row r="204" ht="25" customHeight="1" s="18">
      <c r="A204" s="101" t="n"/>
      <c r="B204" s="89" t="n"/>
      <c r="C204" s="74" t="n"/>
      <c r="D204" s="74" t="n"/>
      <c r="E204" s="75" t="n"/>
    </row>
    <row r="205" ht="25" customHeight="1" s="18">
      <c r="A205" s="102" t="n"/>
      <c r="B205" s="66" t="n"/>
      <c r="C205" s="77" t="n"/>
      <c r="D205" s="77" t="n"/>
      <c r="E205" s="78" t="n"/>
    </row>
    <row r="206" ht="25" customHeight="1" s="18">
      <c r="A206" s="101" t="n"/>
      <c r="B206" s="89" t="n"/>
      <c r="C206" s="74" t="n"/>
      <c r="D206" s="74" t="n"/>
      <c r="E206" s="75" t="n"/>
    </row>
    <row r="207" ht="25" customHeight="1" s="18">
      <c r="A207" s="102" t="n"/>
      <c r="B207" s="66" t="n"/>
      <c r="C207" s="77" t="n"/>
      <c r="D207" s="77" t="n"/>
      <c r="E207" s="78" t="n"/>
    </row>
    <row r="208" ht="25" customHeight="1" s="18">
      <c r="A208" s="101" t="n"/>
      <c r="B208" s="89" t="n"/>
      <c r="C208" s="74" t="n"/>
      <c r="D208" s="74" t="n"/>
      <c r="E208" s="75" t="n"/>
    </row>
    <row r="209" ht="25" customHeight="1" s="18">
      <c r="A209" s="102" t="n"/>
      <c r="B209" s="66" t="n"/>
      <c r="C209" s="77" t="n"/>
      <c r="D209" s="77" t="n"/>
      <c r="E209" s="78" t="n"/>
    </row>
    <row r="210" ht="25" customHeight="1" s="18">
      <c r="A210" s="101" t="n"/>
      <c r="B210" s="89" t="n"/>
      <c r="C210" s="74" t="n"/>
      <c r="D210" s="74" t="n"/>
      <c r="E210" s="75" t="n"/>
    </row>
    <row r="211" ht="25" customHeight="1" s="18">
      <c r="A211" s="102" t="n"/>
      <c r="B211" s="66" t="n"/>
      <c r="C211" s="77" t="n"/>
      <c r="D211" s="77" t="n"/>
      <c r="E211" s="78" t="n"/>
    </row>
    <row r="212" ht="25" customHeight="1" s="18">
      <c r="A212" s="101" t="n"/>
      <c r="B212" s="89" t="n"/>
      <c r="C212" s="74" t="n"/>
      <c r="D212" s="74" t="n"/>
      <c r="E212" s="75" t="n"/>
    </row>
    <row r="213" ht="25" customHeight="1" s="18">
      <c r="A213" s="102" t="n"/>
      <c r="B213" s="66" t="n"/>
      <c r="C213" s="77" t="n"/>
      <c r="D213" s="77" t="n"/>
      <c r="E213" s="78" t="n"/>
    </row>
    <row r="214" ht="25" customHeight="1" s="18">
      <c r="A214" s="101" t="n"/>
      <c r="B214" s="89" t="n"/>
      <c r="C214" s="74" t="n"/>
      <c r="D214" s="74" t="n"/>
      <c r="E214" s="75" t="n"/>
    </row>
    <row r="215" ht="25" customHeight="1" s="18">
      <c r="A215" s="102" t="n"/>
      <c r="B215" s="66" t="n"/>
      <c r="C215" s="77" t="n"/>
      <c r="D215" s="77" t="n"/>
      <c r="E215" s="78" t="n"/>
    </row>
    <row r="216" ht="25" customHeight="1" s="18">
      <c r="A216" s="101" t="n"/>
      <c r="B216" s="89" t="n"/>
      <c r="C216" s="74" t="n"/>
      <c r="D216" s="74" t="n"/>
      <c r="E216" s="75" t="n"/>
    </row>
    <row r="217" ht="25" customHeight="1" s="18">
      <c r="A217" s="102" t="n"/>
      <c r="B217" s="66" t="n"/>
      <c r="C217" s="77" t="n"/>
      <c r="D217" s="77" t="n"/>
      <c r="E217" s="78" t="n"/>
    </row>
    <row r="218" ht="25" customHeight="1" s="18">
      <c r="A218" s="101" t="n"/>
      <c r="B218" s="89" t="n"/>
      <c r="C218" s="74" t="n"/>
      <c r="D218" s="74" t="n"/>
      <c r="E218" s="75" t="n"/>
    </row>
    <row r="219" ht="25" customHeight="1" s="18">
      <c r="A219" s="102" t="n"/>
      <c r="B219" s="66" t="n"/>
      <c r="C219" s="77" t="n"/>
      <c r="D219" s="77" t="n"/>
      <c r="E219" s="78" t="n"/>
    </row>
    <row r="220" ht="25" customHeight="1" s="18">
      <c r="A220" s="101" t="n"/>
      <c r="B220" s="89" t="n"/>
      <c r="C220" s="74" t="n"/>
      <c r="D220" s="74" t="n"/>
      <c r="E220" s="75" t="n"/>
    </row>
    <row r="221" ht="25" customHeight="1" s="18">
      <c r="A221" s="102" t="n"/>
      <c r="B221" s="66" t="n"/>
      <c r="C221" s="77" t="n"/>
      <c r="D221" s="77" t="n"/>
      <c r="E221" s="78" t="n"/>
    </row>
    <row r="222" ht="25" customHeight="1" s="18">
      <c r="A222" s="101" t="n"/>
      <c r="B222" s="89" t="n"/>
      <c r="C222" s="74" t="n"/>
      <c r="D222" s="74" t="n"/>
      <c r="E222" s="75" t="n"/>
    </row>
    <row r="223" ht="25" customHeight="1" s="18">
      <c r="A223" s="102" t="n"/>
      <c r="B223" s="66" t="n"/>
      <c r="C223" s="77" t="n"/>
      <c r="D223" s="77" t="n"/>
      <c r="E223" s="78" t="n"/>
    </row>
    <row r="224" ht="25" customHeight="1" s="18">
      <c r="A224" s="101" t="n"/>
      <c r="B224" s="89" t="n"/>
      <c r="C224" s="74" t="n"/>
      <c r="D224" s="74" t="n"/>
      <c r="E224" s="75" t="n"/>
    </row>
    <row r="225" ht="25" customHeight="1" s="18">
      <c r="A225" s="102" t="n"/>
      <c r="B225" s="66" t="n"/>
      <c r="C225" s="77" t="n"/>
      <c r="D225" s="77" t="n"/>
      <c r="E225" s="78" t="n"/>
    </row>
    <row r="226" ht="25" customHeight="1" s="18">
      <c r="A226" s="101" t="n"/>
      <c r="B226" s="89" t="n"/>
      <c r="C226" s="74" t="n"/>
      <c r="D226" s="74" t="n"/>
      <c r="E226" s="75" t="n"/>
    </row>
    <row r="227" ht="25" customHeight="1" s="18">
      <c r="A227" s="102" t="n"/>
      <c r="B227" s="66" t="n"/>
      <c r="C227" s="77" t="n"/>
      <c r="D227" s="77" t="n"/>
      <c r="E227" s="78" t="n"/>
    </row>
    <row r="228" ht="25" customHeight="1" s="18">
      <c r="A228" s="101" t="n"/>
      <c r="B228" s="89" t="n"/>
      <c r="C228" s="74" t="n"/>
      <c r="D228" s="74" t="n"/>
      <c r="E228" s="75" t="n"/>
    </row>
    <row r="229" ht="25" customHeight="1" s="18">
      <c r="A229" s="102" t="n"/>
      <c r="B229" s="66" t="n"/>
      <c r="C229" s="77" t="n"/>
      <c r="D229" s="77" t="n"/>
      <c r="E229" s="78" t="n"/>
    </row>
    <row r="230" ht="25" customHeight="1" s="18">
      <c r="A230" s="101" t="n"/>
      <c r="B230" s="89" t="n"/>
      <c r="C230" s="74" t="n"/>
      <c r="D230" s="74" t="n"/>
      <c r="E230" s="75" t="n"/>
    </row>
    <row r="231" ht="25" customHeight="1" s="18">
      <c r="A231" s="102" t="n"/>
      <c r="B231" s="66" t="n"/>
      <c r="C231" s="77" t="n"/>
      <c r="D231" s="77" t="n"/>
      <c r="E231" s="78" t="n"/>
    </row>
    <row r="232" ht="25" customHeight="1" s="18">
      <c r="A232" s="101" t="n"/>
      <c r="B232" s="89" t="n"/>
      <c r="C232" s="74" t="n"/>
      <c r="D232" s="74" t="n"/>
      <c r="E232" s="75" t="n"/>
    </row>
    <row r="233" ht="25" customHeight="1" s="18">
      <c r="A233" s="102" t="n"/>
      <c r="B233" s="66" t="n"/>
      <c r="C233" s="77" t="n"/>
      <c r="D233" s="77" t="n"/>
      <c r="E233" s="78" t="n"/>
    </row>
    <row r="234" ht="25" customHeight="1" s="18">
      <c r="A234" s="101" t="n"/>
      <c r="B234" s="89" t="n"/>
      <c r="C234" s="74" t="n"/>
      <c r="D234" s="74" t="n"/>
      <c r="E234" s="75" t="n"/>
    </row>
    <row r="235" ht="25" customHeight="1" s="18">
      <c r="A235" s="102" t="n"/>
      <c r="B235" s="66" t="n"/>
      <c r="C235" s="77" t="n"/>
      <c r="D235" s="77" t="n"/>
      <c r="E235" s="78" t="n"/>
    </row>
    <row r="236" ht="25" customHeight="1" s="18">
      <c r="A236" s="101" t="n"/>
      <c r="B236" s="89" t="n"/>
      <c r="C236" s="74" t="n"/>
      <c r="D236" s="74" t="n"/>
      <c r="E236" s="75" t="n"/>
    </row>
    <row r="237" ht="25" customHeight="1" s="18">
      <c r="A237" s="102" t="n"/>
      <c r="B237" s="66" t="n"/>
      <c r="C237" s="77" t="n"/>
      <c r="D237" s="77" t="n"/>
      <c r="E237" s="78" t="n"/>
    </row>
    <row r="238" ht="25" customHeight="1" s="18">
      <c r="A238" s="101" t="n"/>
      <c r="B238" s="89" t="n"/>
      <c r="C238" s="74" t="n"/>
      <c r="D238" s="74" t="n"/>
      <c r="E238" s="75" t="n"/>
    </row>
    <row r="239" ht="25" customHeight="1" s="18">
      <c r="A239" s="102" t="n"/>
      <c r="B239" s="66" t="n"/>
      <c r="C239" s="77" t="n"/>
      <c r="D239" s="77" t="n"/>
      <c r="E239" s="78" t="n"/>
    </row>
    <row r="240" ht="25" customHeight="1" s="18">
      <c r="A240" s="101" t="n"/>
      <c r="B240" s="89" t="n"/>
      <c r="C240" s="74" t="n"/>
      <c r="D240" s="74" t="n"/>
      <c r="E240" s="75" t="n"/>
    </row>
    <row r="241" ht="25" customHeight="1" s="18">
      <c r="A241" s="102" t="n"/>
      <c r="B241" s="66" t="n"/>
      <c r="C241" s="77" t="n"/>
      <c r="D241" s="77" t="n"/>
      <c r="E241" s="78" t="n"/>
    </row>
    <row r="242" ht="25" customHeight="1" s="18">
      <c r="A242" s="101" t="n"/>
      <c r="B242" s="89" t="n"/>
      <c r="C242" s="74" t="n"/>
      <c r="D242" s="74" t="n"/>
      <c r="E242" s="75" t="n"/>
    </row>
    <row r="243" ht="25" customHeight="1" s="18">
      <c r="A243" s="102" t="n"/>
      <c r="B243" s="66" t="n"/>
      <c r="C243" s="77" t="n"/>
      <c r="D243" s="77" t="n"/>
      <c r="E243" s="78" t="n"/>
    </row>
    <row r="244" ht="25" customHeight="1" s="18">
      <c r="A244" s="101" t="n"/>
      <c r="B244" s="89" t="n"/>
      <c r="C244" s="74" t="n"/>
      <c r="D244" s="74" t="n"/>
      <c r="E244" s="75" t="n"/>
    </row>
    <row r="245" ht="25" customHeight="1" s="18">
      <c r="A245" s="102" t="n"/>
      <c r="B245" s="66" t="n"/>
      <c r="C245" s="77" t="n"/>
      <c r="D245" s="77" t="n"/>
      <c r="E245" s="78" t="n"/>
    </row>
    <row r="246" ht="25" customHeight="1" s="18">
      <c r="A246" s="101" t="n"/>
      <c r="B246" s="89" t="n"/>
      <c r="C246" s="74" t="n"/>
      <c r="D246" s="74" t="n"/>
      <c r="E246" s="75" t="n"/>
    </row>
    <row r="247" ht="25" customHeight="1" s="18">
      <c r="A247" s="102" t="n"/>
      <c r="B247" s="66" t="n"/>
      <c r="C247" s="77" t="n"/>
      <c r="D247" s="77" t="n"/>
      <c r="E247" s="78" t="n"/>
    </row>
    <row r="248" ht="25" customHeight="1" s="18">
      <c r="A248" s="101" t="n"/>
      <c r="B248" s="89" t="n"/>
      <c r="C248" s="74" t="n"/>
      <c r="D248" s="74" t="n"/>
      <c r="E248" s="75" t="n"/>
    </row>
    <row r="249" ht="25" customHeight="1" s="18">
      <c r="A249" s="102" t="n"/>
      <c r="B249" s="66" t="n"/>
      <c r="C249" s="77" t="n"/>
      <c r="D249" s="77" t="n"/>
      <c r="E249" s="78" t="n"/>
    </row>
    <row r="250" ht="25" customHeight="1" s="18">
      <c r="A250" s="101" t="n"/>
      <c r="B250" s="89" t="n"/>
      <c r="C250" s="74" t="n"/>
      <c r="D250" s="74" t="n"/>
      <c r="E250" s="75" t="n"/>
    </row>
    <row r="251" ht="25" customHeight="1" s="18">
      <c r="A251" s="102" t="n"/>
      <c r="B251" s="66" t="n"/>
      <c r="C251" s="77" t="n"/>
      <c r="D251" s="77" t="n"/>
      <c r="E251" s="78" t="n"/>
    </row>
    <row r="252" ht="25" customHeight="1" s="18">
      <c r="A252" s="101" t="n"/>
      <c r="B252" s="89" t="n"/>
      <c r="C252" s="74" t="n"/>
      <c r="D252" s="74" t="n"/>
      <c r="E252" s="75" t="n"/>
    </row>
    <row r="253" ht="25" customHeight="1" s="18">
      <c r="A253" s="102" t="n"/>
      <c r="B253" s="66" t="n"/>
      <c r="C253" s="77" t="n"/>
      <c r="D253" s="77" t="n"/>
      <c r="E253" s="78" t="n"/>
    </row>
    <row r="254" ht="25" customHeight="1" s="18">
      <c r="A254" s="101" t="n"/>
      <c r="B254" s="89" t="n"/>
      <c r="C254" s="74" t="n"/>
      <c r="D254" s="74" t="n"/>
      <c r="E254" s="75" t="n"/>
    </row>
    <row r="255" ht="25" customHeight="1" s="18">
      <c r="A255" s="102" t="n"/>
      <c r="B255" s="66" t="n"/>
      <c r="C255" s="77" t="n"/>
      <c r="D255" s="77" t="n"/>
      <c r="E255" s="78" t="n"/>
    </row>
    <row r="256" ht="25" customHeight="1" s="18">
      <c r="A256" s="101" t="n"/>
      <c r="B256" s="89" t="n"/>
      <c r="C256" s="74" t="n"/>
      <c r="D256" s="74" t="n"/>
      <c r="E256" s="75" t="n"/>
    </row>
    <row r="257" ht="25" customHeight="1" s="18">
      <c r="A257" s="102" t="n"/>
      <c r="B257" s="66" t="n"/>
      <c r="C257" s="77" t="n"/>
      <c r="D257" s="77" t="n"/>
      <c r="E257" s="78" t="n"/>
    </row>
    <row r="258" ht="25" customHeight="1" s="18">
      <c r="A258" s="101" t="n"/>
      <c r="B258" s="89" t="n"/>
      <c r="C258" s="74" t="n"/>
      <c r="D258" s="74" t="n"/>
      <c r="E258" s="75" t="n"/>
    </row>
    <row r="259" ht="25" customHeight="1" s="18">
      <c r="A259" s="102" t="n"/>
      <c r="B259" s="66" t="n"/>
      <c r="C259" s="77" t="n"/>
      <c r="D259" s="77" t="n"/>
      <c r="E259" s="78" t="n"/>
    </row>
    <row r="260" ht="25" customHeight="1" s="18">
      <c r="A260" s="101" t="n"/>
      <c r="B260" s="89" t="n"/>
      <c r="C260" s="74" t="n"/>
      <c r="D260" s="74" t="n"/>
      <c r="E260" s="75" t="n"/>
    </row>
    <row r="261" ht="25" customHeight="1" s="18">
      <c r="A261" s="102" t="n"/>
      <c r="B261" s="66" t="n"/>
      <c r="C261" s="77" t="n"/>
      <c r="D261" s="77" t="n"/>
      <c r="E261" s="78" t="n"/>
    </row>
    <row r="262" ht="25" customHeight="1" s="18">
      <c r="A262" s="101" t="n"/>
      <c r="B262" s="89" t="n"/>
      <c r="C262" s="74" t="n"/>
      <c r="D262" s="74" t="n"/>
      <c r="E262" s="75" t="n"/>
    </row>
    <row r="263" ht="25" customHeight="1" s="18">
      <c r="A263" s="102" t="n"/>
      <c r="B263" s="66" t="n"/>
      <c r="C263" s="77" t="n"/>
      <c r="D263" s="77" t="n"/>
      <c r="E263" s="78" t="n"/>
    </row>
    <row r="264" ht="25" customHeight="1" s="18">
      <c r="A264" s="101" t="n"/>
      <c r="B264" s="89" t="n"/>
      <c r="C264" s="74" t="n"/>
      <c r="D264" s="74" t="n"/>
      <c r="E264" s="75" t="n"/>
    </row>
    <row r="265" ht="25" customHeight="1" s="18">
      <c r="A265" s="102" t="n"/>
      <c r="B265" s="66" t="n"/>
      <c r="C265" s="77" t="n"/>
      <c r="D265" s="77" t="n"/>
      <c r="E265" s="78" t="n"/>
    </row>
    <row r="266" ht="25" customHeight="1" s="18">
      <c r="A266" s="101" t="n"/>
      <c r="B266" s="89" t="n"/>
      <c r="C266" s="74" t="n"/>
      <c r="D266" s="74" t="n"/>
      <c r="E266" s="75" t="n"/>
    </row>
    <row r="267" ht="25" customHeight="1" s="18">
      <c r="A267" s="102" t="n"/>
      <c r="B267" s="66" t="n"/>
      <c r="C267" s="77" t="n"/>
      <c r="D267" s="77" t="n"/>
      <c r="E267" s="78" t="n"/>
    </row>
    <row r="268" ht="25" customHeight="1" s="18">
      <c r="A268" s="101" t="n"/>
      <c r="B268" s="89" t="n"/>
      <c r="C268" s="74" t="n"/>
      <c r="D268" s="74" t="n"/>
      <c r="E268" s="75" t="n"/>
    </row>
    <row r="269" ht="25" customHeight="1" s="18">
      <c r="A269" s="102" t="n"/>
      <c r="B269" s="66" t="n"/>
      <c r="C269" s="77" t="n"/>
      <c r="D269" s="77" t="n"/>
      <c r="E269" s="78" t="n"/>
    </row>
    <row r="270" ht="25" customHeight="1" s="18">
      <c r="A270" s="101" t="n"/>
      <c r="B270" s="89" t="n"/>
      <c r="C270" s="74" t="n"/>
      <c r="D270" s="74" t="n"/>
      <c r="E270" s="75" t="n"/>
    </row>
    <row r="271" ht="25" customHeight="1" s="18">
      <c r="A271" s="102" t="n"/>
      <c r="B271" s="66" t="n"/>
      <c r="C271" s="77" t="n"/>
      <c r="D271" s="77" t="n"/>
      <c r="E271" s="78" t="n"/>
    </row>
    <row r="272" ht="25" customHeight="1" s="18">
      <c r="A272" s="101" t="n"/>
      <c r="B272" s="89" t="n"/>
      <c r="C272" s="74" t="n"/>
      <c r="D272" s="74" t="n"/>
      <c r="E272" s="75" t="n"/>
    </row>
    <row r="273" ht="25" customHeight="1" s="18">
      <c r="A273" s="102" t="n"/>
      <c r="B273" s="66" t="n"/>
      <c r="C273" s="77" t="n"/>
      <c r="D273" s="77" t="n"/>
      <c r="E273" s="78" t="n"/>
    </row>
    <row r="274" ht="25" customHeight="1" s="18">
      <c r="A274" s="101" t="n"/>
      <c r="B274" s="89" t="n"/>
      <c r="C274" s="74" t="n"/>
      <c r="D274" s="74" t="n"/>
      <c r="E274" s="75" t="n"/>
    </row>
    <row r="275" ht="25" customHeight="1" s="18">
      <c r="A275" s="102" t="n"/>
      <c r="B275" s="66" t="n"/>
      <c r="C275" s="77" t="n"/>
      <c r="D275" s="77" t="n"/>
      <c r="E275" s="78" t="n"/>
    </row>
    <row r="276" ht="25" customHeight="1" s="18">
      <c r="A276" s="101" t="n"/>
      <c r="B276" s="89" t="n"/>
      <c r="C276" s="74" t="n"/>
      <c r="D276" s="74" t="n"/>
      <c r="E276" s="75" t="n"/>
    </row>
    <row r="277" ht="25" customHeight="1" s="18">
      <c r="A277" s="102" t="n"/>
      <c r="B277" s="66" t="n"/>
      <c r="C277" s="77" t="n"/>
      <c r="D277" s="77" t="n"/>
      <c r="E277" s="78" t="n"/>
    </row>
    <row r="278" ht="25" customHeight="1" s="18">
      <c r="A278" s="101" t="n"/>
      <c r="B278" s="89" t="n"/>
      <c r="C278" s="74" t="n"/>
      <c r="D278" s="74" t="n"/>
      <c r="E278" s="75" t="n"/>
    </row>
    <row r="279" ht="25" customHeight="1" s="18">
      <c r="A279" s="102" t="n"/>
      <c r="B279" s="66" t="n"/>
      <c r="C279" s="77" t="n"/>
      <c r="D279" s="77" t="n"/>
      <c r="E279" s="78" t="n"/>
    </row>
    <row r="280" ht="25" customHeight="1" s="18">
      <c r="A280" s="101" t="n"/>
      <c r="B280" s="89" t="n"/>
      <c r="C280" s="74" t="n"/>
      <c r="D280" s="74" t="n"/>
      <c r="E280" s="75" t="n"/>
    </row>
    <row r="281" ht="25" customHeight="1" s="18">
      <c r="A281" s="102" t="n"/>
      <c r="B281" s="66" t="n"/>
      <c r="C281" s="77" t="n"/>
      <c r="D281" s="77" t="n"/>
      <c r="E281" s="78" t="n"/>
    </row>
    <row r="282" ht="25" customHeight="1" s="18">
      <c r="A282" s="101" t="n"/>
      <c r="B282" s="89" t="n"/>
      <c r="C282" s="74" t="n"/>
      <c r="D282" s="74" t="n"/>
      <c r="E282" s="75" t="n"/>
    </row>
    <row r="283" ht="25" customHeight="1" s="18">
      <c r="A283" s="102" t="n"/>
      <c r="B283" s="66" t="n"/>
      <c r="C283" s="77" t="n"/>
      <c r="D283" s="77" t="n"/>
      <c r="E283" s="78" t="n"/>
    </row>
    <row r="284" ht="25" customHeight="1" s="18">
      <c r="A284" s="101" t="n"/>
      <c r="B284" s="89" t="n"/>
      <c r="C284" s="74" t="n"/>
      <c r="D284" s="74" t="n"/>
      <c r="E284" s="75" t="n"/>
    </row>
    <row r="285" ht="25" customHeight="1" s="18">
      <c r="A285" s="102" t="n"/>
      <c r="B285" s="66" t="n"/>
      <c r="C285" s="77" t="n"/>
      <c r="D285" s="77" t="n"/>
      <c r="E285" s="78" t="n"/>
    </row>
    <row r="286" ht="25" customHeight="1" s="18">
      <c r="A286" s="101" t="n"/>
      <c r="B286" s="89" t="n"/>
      <c r="C286" s="74" t="n"/>
      <c r="D286" s="74" t="n"/>
      <c r="E286" s="75" t="n"/>
    </row>
    <row r="287" ht="25" customHeight="1" s="18">
      <c r="A287" s="102" t="n"/>
      <c r="B287" s="66" t="n"/>
      <c r="C287" s="77" t="n"/>
      <c r="D287" s="77" t="n"/>
      <c r="E287" s="78" t="n"/>
    </row>
    <row r="288" ht="25" customHeight="1" s="18">
      <c r="A288" s="101" t="n"/>
      <c r="B288" s="89" t="n"/>
      <c r="C288" s="74" t="n"/>
      <c r="D288" s="74" t="n"/>
      <c r="E288" s="75" t="n"/>
    </row>
    <row r="289" ht="25" customHeight="1" s="18">
      <c r="A289" s="102" t="n"/>
      <c r="B289" s="66" t="n"/>
      <c r="C289" s="77" t="n"/>
      <c r="D289" s="77" t="n"/>
      <c r="E289" s="78" t="n"/>
    </row>
    <row r="290" ht="25" customHeight="1" s="18">
      <c r="A290" s="101" t="n"/>
      <c r="B290" s="89" t="n"/>
      <c r="C290" s="74" t="n"/>
      <c r="D290" s="74" t="n"/>
      <c r="E290" s="75" t="n"/>
    </row>
    <row r="291" ht="25" customHeight="1" s="18">
      <c r="A291" s="102" t="n"/>
      <c r="B291" s="66" t="n"/>
      <c r="C291" s="77" t="n"/>
      <c r="D291" s="77" t="n"/>
      <c r="E291" s="78" t="n"/>
    </row>
    <row r="292" ht="25" customHeight="1" s="18">
      <c r="A292" s="101" t="n"/>
      <c r="B292" s="89" t="n"/>
      <c r="C292" s="74" t="n"/>
      <c r="D292" s="74" t="n"/>
      <c r="E292" s="75" t="n"/>
    </row>
    <row r="293" ht="25" customHeight="1" s="18">
      <c r="A293" s="102" t="n"/>
      <c r="B293" s="66" t="n"/>
      <c r="C293" s="77" t="n"/>
      <c r="D293" s="77" t="n"/>
      <c r="E293" s="78" t="n"/>
    </row>
    <row r="294" ht="25" customHeight="1" s="18">
      <c r="A294" s="101" t="n"/>
      <c r="B294" s="89" t="n"/>
      <c r="C294" s="74" t="n"/>
      <c r="D294" s="74" t="n"/>
      <c r="E294" s="75" t="n"/>
    </row>
    <row r="295" ht="25" customHeight="1" s="18">
      <c r="A295" s="102" t="n"/>
      <c r="B295" s="66" t="n"/>
      <c r="C295" s="77" t="n"/>
      <c r="D295" s="77" t="n"/>
      <c r="E295" s="78" t="n"/>
    </row>
    <row r="296" ht="25" customHeight="1" s="18">
      <c r="A296" s="101" t="n"/>
      <c r="B296" s="89" t="n"/>
      <c r="C296" s="74" t="n"/>
      <c r="D296" s="74" t="n"/>
      <c r="E296" s="75" t="n"/>
    </row>
    <row r="297" ht="25" customHeight="1" s="18">
      <c r="A297" s="102" t="n"/>
      <c r="B297" s="66" t="n"/>
      <c r="C297" s="77" t="n"/>
      <c r="D297" s="77" t="n"/>
      <c r="E297" s="78" t="n"/>
    </row>
    <row r="298" ht="25" customHeight="1" s="18">
      <c r="A298" s="101" t="n"/>
      <c r="B298" s="89" t="n"/>
      <c r="C298" s="74" t="n"/>
      <c r="D298" s="74" t="n"/>
      <c r="E298" s="75" t="n"/>
    </row>
    <row r="299" ht="25" customHeight="1" s="18">
      <c r="A299" s="102" t="n"/>
      <c r="B299" s="66" t="n"/>
      <c r="C299" s="77" t="n"/>
      <c r="D299" s="77" t="n"/>
      <c r="E299" s="78" t="n"/>
    </row>
    <row r="300" ht="25" customHeight="1" s="18">
      <c r="A300" s="101" t="n"/>
      <c r="B300" s="89" t="n"/>
      <c r="C300" s="74" t="n"/>
      <c r="D300" s="74" t="n"/>
      <c r="E300" s="75" t="n"/>
    </row>
    <row r="301" ht="25" customHeight="1" s="18">
      <c r="A301" s="102" t="n"/>
      <c r="B301" s="66" t="n"/>
      <c r="C301" s="77" t="n"/>
      <c r="D301" s="77" t="n"/>
      <c r="E301" s="78" t="n"/>
    </row>
    <row r="302" ht="25" customHeight="1" s="18">
      <c r="A302" s="101" t="n"/>
      <c r="B302" s="89" t="n"/>
      <c r="C302" s="74" t="n"/>
      <c r="D302" s="74" t="n"/>
      <c r="E302" s="75" t="n"/>
    </row>
    <row r="303" ht="25" customHeight="1" s="18">
      <c r="A303" s="102" t="n"/>
      <c r="B303" s="66" t="n"/>
      <c r="C303" s="77" t="n"/>
      <c r="D303" s="77" t="n"/>
      <c r="E303" s="78" t="n"/>
    </row>
    <row r="304" ht="25" customHeight="1" s="18">
      <c r="A304" s="101" t="n"/>
      <c r="B304" s="89" t="n"/>
      <c r="C304" s="74" t="n"/>
      <c r="D304" s="74" t="n"/>
      <c r="E304" s="75" t="n"/>
    </row>
    <row r="305" ht="25" customHeight="1" s="18">
      <c r="A305" s="102" t="n"/>
      <c r="B305" s="66" t="n"/>
      <c r="C305" s="77" t="n"/>
      <c r="D305" s="77" t="n"/>
      <c r="E305" s="78" t="n"/>
    </row>
    <row r="306" ht="25" customHeight="1" s="18">
      <c r="A306" s="101" t="n"/>
      <c r="B306" s="89" t="n"/>
      <c r="C306" s="74" t="n"/>
      <c r="D306" s="74" t="n"/>
      <c r="E306" s="75" t="n"/>
    </row>
    <row r="307" ht="25" customHeight="1" s="18">
      <c r="A307" s="102" t="n"/>
      <c r="B307" s="66" t="n"/>
      <c r="C307" s="77" t="n"/>
      <c r="D307" s="77" t="n"/>
      <c r="E307" s="78" t="n"/>
    </row>
    <row r="308" ht="25" customHeight="1" s="18">
      <c r="A308" s="101" t="n"/>
      <c r="B308" s="89" t="n"/>
      <c r="C308" s="74" t="n"/>
      <c r="D308" s="74" t="n"/>
      <c r="E308" s="75" t="n"/>
    </row>
    <row r="309" ht="25" customHeight="1" s="18">
      <c r="A309" s="102" t="n"/>
      <c r="B309" s="66" t="n"/>
      <c r="C309" s="77" t="n"/>
      <c r="D309" s="77" t="n"/>
      <c r="E309" s="78" t="n"/>
    </row>
    <row r="310" ht="25" customHeight="1" s="18">
      <c r="A310" s="101" t="n"/>
      <c r="B310" s="89" t="n"/>
      <c r="C310" s="74" t="n"/>
      <c r="D310" s="74" t="n"/>
      <c r="E310" s="75" t="n"/>
    </row>
    <row r="311" ht="25" customHeight="1" s="18">
      <c r="A311" s="102" t="n"/>
      <c r="B311" s="66" t="n"/>
      <c r="C311" s="77" t="n"/>
      <c r="D311" s="77" t="n"/>
      <c r="E311" s="78" t="n"/>
    </row>
    <row r="312" ht="25" customHeight="1" s="18">
      <c r="A312" s="101" t="n"/>
      <c r="B312" s="89" t="n"/>
      <c r="C312" s="74" t="n"/>
      <c r="D312" s="74" t="n"/>
      <c r="E312" s="75" t="n"/>
    </row>
    <row r="313" ht="25" customHeight="1" s="18">
      <c r="A313" s="102" t="n"/>
      <c r="B313" s="66" t="n"/>
      <c r="C313" s="77" t="n"/>
      <c r="D313" s="77" t="n"/>
      <c r="E313" s="78" t="n"/>
    </row>
    <row r="314" ht="25" customHeight="1" s="18">
      <c r="A314" s="101" t="n"/>
      <c r="B314" s="89" t="n"/>
      <c r="C314" s="74" t="n"/>
      <c r="D314" s="74" t="n"/>
      <c r="E314" s="75" t="n"/>
    </row>
    <row r="315" ht="25" customHeight="1" s="18">
      <c r="A315" s="102" t="n"/>
      <c r="B315" s="66" t="n"/>
      <c r="C315" s="77" t="n"/>
      <c r="D315" s="77" t="n"/>
      <c r="E315" s="78" t="n"/>
    </row>
    <row r="316" ht="25" customHeight="1" s="18">
      <c r="A316" s="101" t="n"/>
      <c r="B316" s="89" t="n"/>
      <c r="C316" s="74" t="n"/>
      <c r="D316" s="74" t="n"/>
      <c r="E316" s="75" t="n"/>
    </row>
    <row r="317" ht="25" customHeight="1" s="18">
      <c r="A317" s="102" t="n"/>
      <c r="B317" s="66" t="n"/>
      <c r="C317" s="77" t="n"/>
      <c r="D317" s="77" t="n"/>
      <c r="E317" s="78" t="n"/>
    </row>
    <row r="318" ht="25" customHeight="1" s="18">
      <c r="A318" s="101" t="n"/>
      <c r="B318" s="89" t="n"/>
      <c r="C318" s="74" t="n"/>
      <c r="D318" s="74" t="n"/>
      <c r="E318" s="75" t="n"/>
    </row>
    <row r="319" ht="25" customHeight="1" s="18">
      <c r="A319" s="102" t="n"/>
      <c r="B319" s="66" t="n"/>
      <c r="C319" s="77" t="n"/>
      <c r="D319" s="77" t="n"/>
      <c r="E319" s="78" t="n"/>
    </row>
    <row r="320" ht="25" customHeight="1" s="18">
      <c r="A320" s="101" t="n"/>
      <c r="B320" s="89" t="n"/>
      <c r="C320" s="74" t="n"/>
      <c r="D320" s="74" t="n"/>
      <c r="E320" s="75" t="n"/>
    </row>
    <row r="321" ht="25" customHeight="1" s="18">
      <c r="A321" s="102" t="n"/>
      <c r="B321" s="66" t="n"/>
      <c r="C321" s="77" t="n"/>
      <c r="D321" s="77" t="n"/>
      <c r="E321" s="78" t="n"/>
    </row>
    <row r="322" ht="25" customHeight="1" s="18">
      <c r="A322" s="101" t="n"/>
      <c r="B322" s="89" t="n"/>
      <c r="C322" s="74" t="n"/>
      <c r="D322" s="74" t="n"/>
      <c r="E322" s="75" t="n"/>
    </row>
    <row r="323" ht="25" customHeight="1" s="18">
      <c r="A323" s="102" t="n"/>
      <c r="B323" s="66" t="n"/>
      <c r="C323" s="77" t="n"/>
      <c r="D323" s="77" t="n"/>
      <c r="E323" s="78" t="n"/>
    </row>
    <row r="324" ht="25" customHeight="1" s="18">
      <c r="A324" s="101" t="n"/>
      <c r="B324" s="89" t="n"/>
      <c r="C324" s="74" t="n"/>
      <c r="D324" s="74" t="n"/>
      <c r="E324" s="75" t="n"/>
    </row>
    <row r="325" ht="25" customHeight="1" s="18">
      <c r="A325" s="102" t="n"/>
      <c r="B325" s="66" t="n"/>
      <c r="C325" s="77" t="n"/>
      <c r="D325" s="77" t="n"/>
      <c r="E325" s="78" t="n"/>
    </row>
    <row r="326" ht="25" customHeight="1" s="18">
      <c r="A326" s="101" t="n"/>
      <c r="B326" s="89" t="n"/>
      <c r="C326" s="74" t="n"/>
      <c r="D326" s="74" t="n"/>
      <c r="E326" s="75" t="n"/>
    </row>
    <row r="327" ht="25" customHeight="1" s="18">
      <c r="A327" s="102" t="n"/>
      <c r="B327" s="66" t="n"/>
      <c r="C327" s="77" t="n"/>
      <c r="D327" s="77" t="n"/>
      <c r="E327" s="78" t="n"/>
    </row>
    <row r="328" ht="25" customHeight="1" s="18">
      <c r="A328" s="101" t="n"/>
      <c r="B328" s="89" t="n"/>
      <c r="C328" s="74" t="n"/>
      <c r="D328" s="74" t="n"/>
      <c r="E328" s="75" t="n"/>
    </row>
    <row r="329" ht="25" customHeight="1" s="18">
      <c r="A329" s="102" t="n"/>
      <c r="B329" s="66" t="n"/>
      <c r="C329" s="77" t="n"/>
      <c r="D329" s="77" t="n"/>
      <c r="E329" s="78" t="n"/>
    </row>
    <row r="330" ht="25" customHeight="1" s="18">
      <c r="A330" s="101" t="n"/>
      <c r="B330" s="89" t="n"/>
      <c r="C330" s="74" t="n"/>
      <c r="D330" s="74" t="n"/>
      <c r="E330" s="75" t="n"/>
    </row>
    <row r="331" ht="25" customHeight="1" s="18">
      <c r="A331" s="102" t="n"/>
      <c r="B331" s="66" t="n"/>
      <c r="C331" s="77" t="n"/>
      <c r="D331" s="77" t="n"/>
      <c r="E331" s="78" t="n"/>
    </row>
    <row r="332" ht="25" customHeight="1" s="18">
      <c r="A332" s="101" t="n"/>
      <c r="B332" s="89" t="n"/>
      <c r="C332" s="74" t="n"/>
      <c r="D332" s="74" t="n"/>
      <c r="E332" s="75" t="n"/>
    </row>
    <row r="333" ht="25" customHeight="1" s="18">
      <c r="A333" s="102" t="n"/>
      <c r="B333" s="66" t="n"/>
      <c r="C333" s="77" t="n"/>
      <c r="D333" s="77" t="n"/>
      <c r="E333" s="78" t="n"/>
    </row>
    <row r="334" ht="25" customHeight="1" s="18">
      <c r="A334" s="101" t="n"/>
      <c r="B334" s="89" t="n"/>
      <c r="C334" s="74" t="n"/>
      <c r="D334" s="74" t="n"/>
      <c r="E334" s="75" t="n"/>
    </row>
    <row r="335" ht="25" customHeight="1" s="18">
      <c r="A335" s="102" t="n"/>
      <c r="B335" s="66" t="n"/>
      <c r="C335" s="77" t="n"/>
      <c r="D335" s="77" t="n"/>
      <c r="E335" s="78" t="n"/>
    </row>
    <row r="336" ht="25" customHeight="1" s="18">
      <c r="A336" s="101" t="n"/>
      <c r="B336" s="89" t="n"/>
      <c r="C336" s="74" t="n"/>
      <c r="D336" s="74" t="n"/>
      <c r="E336" s="75" t="n"/>
    </row>
    <row r="337" ht="25" customHeight="1" s="18">
      <c r="A337" s="102" t="n"/>
      <c r="B337" s="66" t="n"/>
      <c r="C337" s="77" t="n"/>
      <c r="D337" s="77" t="n"/>
      <c r="E337" s="78" t="n"/>
    </row>
    <row r="338" ht="25" customHeight="1" s="18">
      <c r="A338" s="101" t="n"/>
      <c r="B338" s="89" t="n"/>
      <c r="C338" s="74" t="n"/>
      <c r="D338" s="74" t="n"/>
      <c r="E338" s="75" t="n"/>
    </row>
    <row r="339" ht="25" customHeight="1" s="18">
      <c r="A339" s="102" t="n"/>
      <c r="B339" s="66" t="n"/>
      <c r="C339" s="77" t="n"/>
      <c r="D339" s="77" t="n"/>
      <c r="E339" s="78" t="n"/>
    </row>
    <row r="340" ht="25" customHeight="1" s="18">
      <c r="A340" s="101" t="n"/>
      <c r="B340" s="89" t="n"/>
      <c r="C340" s="74" t="n"/>
      <c r="D340" s="74" t="n"/>
      <c r="E340" s="75" t="n"/>
    </row>
    <row r="341" ht="25" customHeight="1" s="18">
      <c r="A341" s="102" t="n"/>
      <c r="B341" s="66" t="n"/>
      <c r="C341" s="77" t="n"/>
      <c r="D341" s="77" t="n"/>
      <c r="E341" s="78" t="n"/>
    </row>
    <row r="342" ht="25" customHeight="1" s="18">
      <c r="A342" s="101" t="n"/>
      <c r="B342" s="89" t="n"/>
      <c r="C342" s="74" t="n"/>
      <c r="D342" s="74" t="n"/>
      <c r="E342" s="75" t="n"/>
    </row>
    <row r="343" ht="25" customHeight="1" s="18">
      <c r="A343" s="102" t="n"/>
      <c r="B343" s="66" t="n"/>
      <c r="C343" s="77" t="n"/>
      <c r="D343" s="77" t="n"/>
      <c r="E343" s="78" t="n"/>
    </row>
    <row r="344" ht="25" customHeight="1" s="18">
      <c r="A344" s="101" t="n"/>
      <c r="B344" s="89" t="n"/>
      <c r="C344" s="74" t="n"/>
      <c r="D344" s="74" t="n"/>
      <c r="E344" s="75" t="n"/>
    </row>
    <row r="345" ht="25" customHeight="1" s="18">
      <c r="A345" s="102" t="n"/>
      <c r="B345" s="66" t="n"/>
      <c r="C345" s="77" t="n"/>
      <c r="D345" s="77" t="n"/>
      <c r="E345" s="78" t="n"/>
    </row>
    <row r="346" ht="25" customHeight="1" s="18">
      <c r="A346" s="101" t="n"/>
      <c r="B346" s="89" t="n"/>
      <c r="C346" s="74" t="n"/>
      <c r="D346" s="74" t="n"/>
      <c r="E346" s="75" t="n"/>
    </row>
    <row r="347" ht="25" customHeight="1" s="18">
      <c r="A347" s="102" t="n"/>
      <c r="B347" s="66" t="n"/>
      <c r="C347" s="77" t="n"/>
      <c r="D347" s="77" t="n"/>
      <c r="E347" s="78" t="n"/>
    </row>
    <row r="348" ht="25" customHeight="1" s="18">
      <c r="A348" s="101" t="n"/>
      <c r="B348" s="89" t="n"/>
      <c r="C348" s="74" t="n"/>
      <c r="D348" s="74" t="n"/>
      <c r="E348" s="75" t="n"/>
    </row>
    <row r="349" ht="25" customHeight="1" s="18">
      <c r="A349" s="102" t="n"/>
      <c r="B349" s="66" t="n"/>
      <c r="C349" s="77" t="n"/>
      <c r="D349" s="77" t="n"/>
      <c r="E349" s="78" t="n"/>
    </row>
    <row r="350" ht="25" customHeight="1" s="18">
      <c r="A350" s="101" t="n"/>
      <c r="B350" s="89" t="n"/>
      <c r="C350" s="74" t="n"/>
      <c r="D350" s="74" t="n"/>
      <c r="E350" s="75" t="n"/>
    </row>
    <row r="351" ht="25" customHeight="1" s="18">
      <c r="A351" s="102" t="n"/>
      <c r="B351" s="66" t="n"/>
      <c r="C351" s="77" t="n"/>
      <c r="D351" s="77" t="n"/>
      <c r="E351" s="78" t="n"/>
    </row>
    <row r="352" ht="25" customHeight="1" s="18">
      <c r="A352" s="101" t="n"/>
      <c r="B352" s="89" t="n"/>
      <c r="C352" s="74" t="n"/>
      <c r="D352" s="74" t="n"/>
      <c r="E352" s="75" t="n"/>
    </row>
    <row r="353" ht="25" customHeight="1" s="18">
      <c r="A353" s="102" t="n"/>
      <c r="B353" s="66" t="n"/>
      <c r="C353" s="77" t="n"/>
      <c r="D353" s="77" t="n"/>
      <c r="E353" s="78" t="n"/>
    </row>
    <row r="354" ht="25" customHeight="1" s="18">
      <c r="A354" s="101" t="n"/>
      <c r="B354" s="89" t="n"/>
      <c r="C354" s="74" t="n"/>
      <c r="D354" s="74" t="n"/>
      <c r="E354" s="75" t="n"/>
    </row>
    <row r="355" ht="25" customHeight="1" s="18">
      <c r="A355" s="102" t="n"/>
      <c r="B355" s="66" t="n"/>
      <c r="C355" s="77" t="n"/>
      <c r="D355" s="77" t="n"/>
      <c r="E355" s="78" t="n"/>
    </row>
    <row r="356" ht="25" customHeight="1" s="18">
      <c r="A356" s="101" t="n"/>
      <c r="B356" s="89" t="n"/>
      <c r="C356" s="74" t="n"/>
      <c r="D356" s="74" t="n"/>
      <c r="E356" s="75" t="n"/>
    </row>
    <row r="357" ht="25" customHeight="1" s="18">
      <c r="A357" s="102" t="n"/>
      <c r="B357" s="66" t="n"/>
      <c r="C357" s="77" t="n"/>
      <c r="D357" s="77" t="n"/>
      <c r="E357" s="78" t="n"/>
    </row>
    <row r="358" ht="25" customHeight="1" s="18">
      <c r="A358" s="101" t="n"/>
      <c r="B358" s="89" t="n"/>
      <c r="C358" s="74" t="n"/>
      <c r="D358" s="74" t="n"/>
      <c r="E358" s="75" t="n"/>
    </row>
    <row r="359" ht="25" customHeight="1" s="18">
      <c r="A359" s="102" t="n"/>
      <c r="B359" s="66" t="n"/>
      <c r="C359" s="77" t="n"/>
      <c r="D359" s="77" t="n"/>
      <c r="E359" s="78" t="n"/>
    </row>
    <row r="360" ht="25" customHeight="1" s="18">
      <c r="A360" s="101" t="n"/>
      <c r="B360" s="89" t="n"/>
      <c r="C360" s="74" t="n"/>
      <c r="D360" s="74" t="n"/>
      <c r="E360" s="75" t="n"/>
    </row>
    <row r="361" ht="25" customHeight="1" s="18">
      <c r="A361" s="102" t="n"/>
      <c r="B361" s="66" t="n"/>
      <c r="C361" s="77" t="n"/>
      <c r="D361" s="77" t="n"/>
      <c r="E361" s="78" t="n"/>
    </row>
    <row r="362" ht="25" customHeight="1" s="18">
      <c r="A362" s="101" t="n"/>
      <c r="B362" s="89" t="n"/>
      <c r="C362" s="74" t="n"/>
      <c r="D362" s="74" t="n"/>
      <c r="E362" s="75" t="n"/>
    </row>
    <row r="363" ht="25" customHeight="1" s="18">
      <c r="A363" s="102" t="n"/>
      <c r="B363" s="66" t="n"/>
      <c r="C363" s="77" t="n"/>
      <c r="D363" s="77" t="n"/>
      <c r="E363" s="78" t="n"/>
    </row>
    <row r="364" ht="25" customHeight="1" s="18">
      <c r="A364" s="101" t="n"/>
      <c r="B364" s="89" t="n"/>
      <c r="C364" s="74" t="n"/>
      <c r="D364" s="74" t="n"/>
      <c r="E364" s="75" t="n"/>
    </row>
    <row r="365" ht="25" customHeight="1" s="18">
      <c r="A365" s="102" t="n"/>
      <c r="B365" s="66" t="n"/>
      <c r="C365" s="77" t="n"/>
      <c r="D365" s="77" t="n"/>
      <c r="E365" s="78" t="n"/>
    </row>
    <row r="366" ht="25" customHeight="1" s="18">
      <c r="A366" s="101" t="n"/>
      <c r="B366" s="89" t="n"/>
      <c r="C366" s="74" t="n"/>
      <c r="D366" s="74" t="n"/>
      <c r="E366" s="75" t="n"/>
    </row>
    <row r="367" ht="25" customHeight="1" s="18">
      <c r="A367" s="102" t="n"/>
      <c r="B367" s="66" t="n"/>
      <c r="C367" s="77" t="n"/>
      <c r="D367" s="77" t="n"/>
      <c r="E367" s="78" t="n"/>
    </row>
    <row r="368" ht="25" customHeight="1" s="18">
      <c r="A368" s="101" t="n"/>
      <c r="B368" s="89" t="n"/>
      <c r="C368" s="74" t="n"/>
      <c r="D368" s="74" t="n"/>
      <c r="E368" s="75" t="n"/>
    </row>
    <row r="369" ht="25" customHeight="1" s="18">
      <c r="A369" s="102" t="n"/>
      <c r="B369" s="66" t="n"/>
      <c r="C369" s="77" t="n"/>
      <c r="D369" s="77" t="n"/>
      <c r="E369" s="78" t="n"/>
    </row>
    <row r="370" ht="25" customHeight="1" s="18">
      <c r="A370" s="101" t="n"/>
      <c r="B370" s="89" t="n"/>
      <c r="C370" s="74" t="n"/>
      <c r="D370" s="74" t="n"/>
      <c r="E370" s="75" t="n"/>
    </row>
    <row r="371" ht="25" customHeight="1" s="18">
      <c r="A371" s="102" t="n"/>
      <c r="B371" s="66" t="n"/>
      <c r="C371" s="77" t="n"/>
      <c r="D371" s="77" t="n"/>
      <c r="E371" s="78" t="n"/>
    </row>
    <row r="372" ht="25" customHeight="1" s="18">
      <c r="A372" s="101" t="n"/>
      <c r="B372" s="89" t="n"/>
      <c r="C372" s="74" t="n"/>
      <c r="D372" s="74" t="n"/>
      <c r="E372" s="75" t="n"/>
    </row>
    <row r="373" ht="25" customHeight="1" s="18">
      <c r="A373" s="102" t="n"/>
      <c r="B373" s="66" t="n"/>
      <c r="C373" s="77" t="n"/>
      <c r="D373" s="77" t="n"/>
      <c r="E373" s="78" t="n"/>
    </row>
    <row r="374" ht="25" customHeight="1" s="18">
      <c r="A374" s="101" t="n"/>
      <c r="B374" s="89" t="n"/>
      <c r="C374" s="74" t="n"/>
      <c r="D374" s="74" t="n"/>
      <c r="E374" s="75" t="n"/>
    </row>
    <row r="375" ht="25" customHeight="1" s="18">
      <c r="A375" s="102" t="n"/>
      <c r="B375" s="66" t="n"/>
      <c r="C375" s="77" t="n"/>
      <c r="D375" s="77" t="n"/>
      <c r="E375" s="78" t="n"/>
    </row>
    <row r="376" ht="25" customHeight="1" s="18">
      <c r="A376" s="101" t="n"/>
      <c r="B376" s="89" t="n"/>
      <c r="C376" s="74" t="n"/>
      <c r="D376" s="74" t="n"/>
      <c r="E376" s="75" t="n"/>
    </row>
    <row r="377" ht="25" customHeight="1" s="18">
      <c r="A377" s="102" t="n"/>
      <c r="B377" s="66" t="n"/>
      <c r="C377" s="77" t="n"/>
      <c r="D377" s="77" t="n"/>
      <c r="E377" s="78" t="n"/>
    </row>
    <row r="378" ht="25" customHeight="1" s="18">
      <c r="A378" s="101" t="n"/>
      <c r="B378" s="89" t="n"/>
      <c r="C378" s="74" t="n"/>
      <c r="D378" s="74" t="n"/>
      <c r="E378" s="75" t="n"/>
    </row>
    <row r="379" ht="25" customHeight="1" s="18">
      <c r="A379" s="102" t="n"/>
      <c r="B379" s="66" t="n"/>
      <c r="C379" s="77" t="n"/>
      <c r="D379" s="77" t="n"/>
      <c r="E379" s="78" t="n"/>
    </row>
    <row r="380" ht="25" customHeight="1" s="18">
      <c r="A380" s="101" t="n"/>
      <c r="B380" s="89" t="n"/>
      <c r="C380" s="74" t="n"/>
      <c r="D380" s="74" t="n"/>
      <c r="E380" s="75" t="n"/>
    </row>
    <row r="381" ht="25" customHeight="1" s="18">
      <c r="A381" s="102" t="n"/>
      <c r="B381" s="66" t="n"/>
      <c r="C381" s="77" t="n"/>
      <c r="D381" s="77" t="n"/>
      <c r="E381" s="78" t="n"/>
    </row>
    <row r="382" ht="25" customHeight="1" s="18">
      <c r="A382" s="101" t="n"/>
      <c r="B382" s="89" t="n"/>
      <c r="C382" s="74" t="n"/>
      <c r="D382" s="74" t="n"/>
      <c r="E382" s="75" t="n"/>
    </row>
    <row r="383" ht="25" customHeight="1" s="18">
      <c r="A383" s="102" t="n"/>
      <c r="B383" s="66" t="n"/>
      <c r="C383" s="77" t="n"/>
      <c r="D383" s="77" t="n"/>
      <c r="E383" s="78" t="n"/>
    </row>
    <row r="384" ht="25" customHeight="1" s="18">
      <c r="A384" s="101" t="n"/>
      <c r="B384" s="89" t="n"/>
      <c r="C384" s="74" t="n"/>
      <c r="D384" s="74" t="n"/>
      <c r="E384" s="75" t="n"/>
    </row>
    <row r="385" ht="25" customHeight="1" s="18">
      <c r="A385" s="102" t="n"/>
      <c r="B385" s="66" t="n"/>
      <c r="C385" s="77" t="n"/>
      <c r="D385" s="77" t="n"/>
      <c r="E385" s="78" t="n"/>
    </row>
    <row r="386" ht="25" customHeight="1" s="18">
      <c r="A386" s="101" t="n"/>
      <c r="B386" s="89" t="n"/>
      <c r="C386" s="74" t="n"/>
      <c r="D386" s="74" t="n"/>
      <c r="E386" s="75" t="n"/>
    </row>
    <row r="387" ht="25" customHeight="1" s="18">
      <c r="A387" s="102" t="n"/>
      <c r="B387" s="66" t="n"/>
      <c r="C387" s="77" t="n"/>
      <c r="D387" s="77" t="n"/>
      <c r="E387" s="78" t="n"/>
    </row>
    <row r="388" ht="25" customHeight="1" s="18">
      <c r="A388" s="101" t="n"/>
      <c r="B388" s="89" t="n"/>
      <c r="C388" s="74" t="n"/>
      <c r="D388" s="74" t="n"/>
      <c r="E388" s="75" t="n"/>
    </row>
    <row r="389" ht="25" customHeight="1" s="18">
      <c r="A389" s="102" t="n"/>
      <c r="B389" s="66" t="n"/>
      <c r="C389" s="77" t="n"/>
      <c r="D389" s="77" t="n"/>
      <c r="E389" s="78" t="n"/>
    </row>
    <row r="390" ht="25" customHeight="1" s="18">
      <c r="A390" s="101" t="n"/>
      <c r="B390" s="89" t="n"/>
      <c r="C390" s="74" t="n"/>
      <c r="D390" s="74" t="n"/>
      <c r="E390" s="75" t="n"/>
    </row>
    <row r="391" ht="25" customHeight="1" s="18">
      <c r="A391" s="102" t="n"/>
      <c r="B391" s="66" t="n"/>
      <c r="C391" s="77" t="n"/>
      <c r="D391" s="77" t="n"/>
      <c r="E391" s="78" t="n"/>
    </row>
    <row r="392" ht="25" customHeight="1" s="18">
      <c r="A392" s="101" t="n"/>
      <c r="B392" s="89" t="n"/>
      <c r="C392" s="74" t="n"/>
      <c r="D392" s="74" t="n"/>
      <c r="E392" s="75" t="n"/>
    </row>
    <row r="393" ht="25" customHeight="1" s="18">
      <c r="A393" s="102" t="n"/>
      <c r="B393" s="66" t="n"/>
      <c r="C393" s="77" t="n"/>
      <c r="D393" s="77" t="n"/>
      <c r="E393" s="78" t="n"/>
    </row>
    <row r="394" ht="25" customHeight="1" s="18">
      <c r="A394" s="101" t="n"/>
      <c r="B394" s="89" t="n"/>
      <c r="C394" s="74" t="n"/>
      <c r="D394" s="74" t="n"/>
      <c r="E394" s="75" t="n"/>
    </row>
    <row r="395" ht="25" customHeight="1" s="18">
      <c r="A395" s="102" t="n"/>
      <c r="B395" s="66" t="n"/>
      <c r="C395" s="77" t="n"/>
      <c r="D395" s="77" t="n"/>
      <c r="E395" s="78" t="n"/>
    </row>
    <row r="396" ht="25" customHeight="1" s="18">
      <c r="A396" s="101" t="n"/>
      <c r="B396" s="89" t="n"/>
      <c r="C396" s="74" t="n"/>
      <c r="D396" s="74" t="n"/>
      <c r="E396" s="75" t="n"/>
    </row>
    <row r="397" ht="25" customHeight="1" s="18">
      <c r="A397" s="102" t="n"/>
      <c r="B397" s="66" t="n"/>
      <c r="C397" s="77" t="n"/>
      <c r="D397" s="77" t="n"/>
      <c r="E397" s="78" t="n"/>
    </row>
    <row r="398" ht="25" customHeight="1" s="18">
      <c r="A398" s="101" t="n"/>
      <c r="B398" s="89" t="n"/>
      <c r="C398" s="74" t="n"/>
      <c r="D398" s="74" t="n"/>
      <c r="E398" s="75" t="n"/>
    </row>
    <row r="399" ht="25" customHeight="1" s="18">
      <c r="A399" s="102" t="n"/>
      <c r="B399" s="66" t="n"/>
      <c r="C399" s="77" t="n"/>
      <c r="D399" s="77" t="n"/>
      <c r="E399" s="78" t="n"/>
    </row>
    <row r="400" ht="25" customHeight="1" s="18">
      <c r="A400" s="101" t="n"/>
      <c r="B400" s="89" t="n"/>
      <c r="C400" s="74" t="n"/>
      <c r="D400" s="74" t="n"/>
      <c r="E400" s="75" t="n"/>
    </row>
    <row r="401" ht="25" customHeight="1" s="18">
      <c r="A401" s="102" t="n"/>
      <c r="B401" s="66" t="n"/>
      <c r="C401" s="77" t="n"/>
      <c r="D401" s="77" t="n"/>
      <c r="E401" s="78" t="n"/>
    </row>
    <row r="402" ht="25" customHeight="1" s="18">
      <c r="A402" s="101" t="n"/>
      <c r="B402" s="89" t="n"/>
      <c r="C402" s="74" t="n"/>
      <c r="D402" s="74" t="n"/>
      <c r="E402" s="75" t="n"/>
    </row>
    <row r="403" ht="25" customHeight="1" s="18">
      <c r="A403" s="102" t="n"/>
      <c r="B403" s="66" t="n"/>
      <c r="C403" s="77" t="n"/>
      <c r="D403" s="77" t="n"/>
      <c r="E403" s="78" t="n"/>
    </row>
    <row r="404" ht="25" customHeight="1" s="18">
      <c r="A404" s="101" t="n"/>
      <c r="B404" s="89" t="n"/>
      <c r="C404" s="74" t="n"/>
      <c r="D404" s="74" t="n"/>
      <c r="E404" s="75" t="n"/>
    </row>
    <row r="405" ht="25" customHeight="1" s="18">
      <c r="A405" s="102" t="n"/>
      <c r="B405" s="66" t="n"/>
      <c r="C405" s="77" t="n"/>
      <c r="D405" s="77" t="n"/>
      <c r="E405" s="78" t="n"/>
    </row>
    <row r="406" ht="25" customHeight="1" s="18">
      <c r="A406" s="101" t="n"/>
      <c r="B406" s="89" t="n"/>
      <c r="C406" s="74" t="n"/>
      <c r="D406" s="74" t="n"/>
      <c r="E406" s="75" t="n"/>
    </row>
    <row r="407" ht="25" customHeight="1" s="18">
      <c r="A407" s="102" t="n"/>
      <c r="B407" s="66" t="n"/>
      <c r="C407" s="77" t="n"/>
      <c r="D407" s="77" t="n"/>
      <c r="E407" s="78" t="n"/>
    </row>
    <row r="408" ht="25" customHeight="1" s="18">
      <c r="A408" s="101" t="n"/>
      <c r="B408" s="89" t="n"/>
      <c r="C408" s="74" t="n"/>
      <c r="D408" s="74" t="n"/>
      <c r="E408" s="75" t="n"/>
    </row>
    <row r="409" ht="25" customHeight="1" s="18">
      <c r="A409" s="102" t="n"/>
      <c r="B409" s="66" t="n"/>
      <c r="C409" s="77" t="n"/>
      <c r="D409" s="77" t="n"/>
      <c r="E409" s="78" t="n"/>
    </row>
    <row r="410" ht="25" customHeight="1" s="18">
      <c r="A410" s="101" t="n"/>
      <c r="B410" s="89" t="n"/>
      <c r="C410" s="74" t="n"/>
      <c r="D410" s="74" t="n"/>
      <c r="E410" s="75" t="n"/>
    </row>
    <row r="411" ht="25" customHeight="1" s="18">
      <c r="A411" s="102" t="n"/>
      <c r="B411" s="66" t="n"/>
      <c r="C411" s="77" t="n"/>
      <c r="D411" s="77" t="n"/>
      <c r="E411" s="78" t="n"/>
    </row>
    <row r="412" ht="25" customHeight="1" s="18">
      <c r="A412" s="101" t="n"/>
      <c r="B412" s="89" t="n"/>
      <c r="C412" s="74" t="n"/>
      <c r="D412" s="74" t="n"/>
      <c r="E412" s="75" t="n"/>
    </row>
    <row r="413" ht="25" customHeight="1" s="18">
      <c r="A413" s="102" t="n"/>
      <c r="B413" s="66" t="n"/>
      <c r="C413" s="77" t="n"/>
      <c r="D413" s="77" t="n"/>
      <c r="E413" s="78" t="n"/>
    </row>
    <row r="414" ht="25" customHeight="1" s="18">
      <c r="A414" s="101" t="n"/>
      <c r="B414" s="89" t="n"/>
      <c r="C414" s="74" t="n"/>
      <c r="D414" s="74" t="n"/>
      <c r="E414" s="75" t="n"/>
    </row>
    <row r="415" ht="25" customHeight="1" s="18">
      <c r="A415" s="102" t="n"/>
      <c r="B415" s="66" t="n"/>
      <c r="C415" s="77" t="n"/>
      <c r="D415" s="77" t="n"/>
      <c r="E415" s="78" t="n"/>
    </row>
    <row r="416" ht="25" customHeight="1" s="18">
      <c r="A416" s="101" t="n"/>
      <c r="B416" s="89" t="n"/>
      <c r="C416" s="74" t="n"/>
      <c r="D416" s="74" t="n"/>
      <c r="E416" s="75" t="n"/>
    </row>
    <row r="417" ht="25" customHeight="1" s="18">
      <c r="A417" s="102" t="n"/>
      <c r="B417" s="66" t="n"/>
      <c r="C417" s="77" t="n"/>
      <c r="D417" s="77" t="n"/>
      <c r="E417" s="78" t="n"/>
    </row>
    <row r="418" ht="25" customHeight="1" s="18">
      <c r="A418" s="101" t="n"/>
      <c r="B418" s="89" t="n"/>
      <c r="C418" s="74" t="n"/>
      <c r="D418" s="74" t="n"/>
      <c r="E418" s="75" t="n"/>
    </row>
    <row r="419" ht="25" customHeight="1" s="18">
      <c r="A419" s="102" t="n"/>
      <c r="B419" s="66" t="n"/>
      <c r="C419" s="77" t="n"/>
      <c r="D419" s="77" t="n"/>
      <c r="E419" s="78" t="n"/>
    </row>
    <row r="420" ht="25" customHeight="1" s="18">
      <c r="A420" s="101" t="n"/>
      <c r="B420" s="89" t="n"/>
      <c r="C420" s="74" t="n"/>
      <c r="D420" s="74" t="n"/>
      <c r="E420" s="75" t="n"/>
    </row>
    <row r="421" ht="25" customHeight="1" s="18">
      <c r="A421" s="102" t="n"/>
      <c r="B421" s="66" t="n"/>
      <c r="C421" s="77" t="n"/>
      <c r="D421" s="77" t="n"/>
      <c r="E421" s="78" t="n"/>
    </row>
    <row r="422" ht="25" customHeight="1" s="18">
      <c r="A422" s="101" t="n"/>
      <c r="B422" s="89" t="n"/>
      <c r="C422" s="74" t="n"/>
      <c r="D422" s="74" t="n"/>
      <c r="E422" s="75" t="n"/>
    </row>
    <row r="423" ht="25" customHeight="1" s="18">
      <c r="A423" s="102" t="n"/>
      <c r="B423" s="66" t="n"/>
      <c r="C423" s="77" t="n"/>
      <c r="D423" s="77" t="n"/>
      <c r="E423" s="78" t="n"/>
    </row>
    <row r="424" ht="25" customHeight="1" s="18">
      <c r="A424" s="101" t="n"/>
      <c r="B424" s="89" t="n"/>
      <c r="C424" s="74" t="n"/>
      <c r="D424" s="74" t="n"/>
      <c r="E424" s="75" t="n"/>
    </row>
    <row r="425" ht="25" customHeight="1" s="18">
      <c r="A425" s="102" t="n"/>
      <c r="B425" s="66" t="n"/>
      <c r="C425" s="77" t="n"/>
      <c r="D425" s="77" t="n"/>
      <c r="E425" s="78" t="n"/>
    </row>
    <row r="426" ht="25" customHeight="1" s="18">
      <c r="A426" s="101" t="n"/>
      <c r="B426" s="89" t="n"/>
      <c r="C426" s="74" t="n"/>
      <c r="D426" s="74" t="n"/>
      <c r="E426" s="75" t="n"/>
    </row>
    <row r="427" ht="25" customHeight="1" s="18">
      <c r="A427" s="102" t="n"/>
      <c r="B427" s="66" t="n"/>
      <c r="C427" s="77" t="n"/>
      <c r="D427" s="77" t="n"/>
      <c r="E427" s="78" t="n"/>
    </row>
    <row r="428" ht="25" customHeight="1" s="18">
      <c r="A428" s="101" t="n"/>
      <c r="B428" s="89" t="n"/>
      <c r="C428" s="74" t="n"/>
      <c r="D428" s="74" t="n"/>
      <c r="E428" s="75" t="n"/>
    </row>
    <row r="429" ht="25" customHeight="1" s="18">
      <c r="A429" s="102" t="n"/>
      <c r="B429" s="66" t="n"/>
      <c r="C429" s="77" t="n"/>
      <c r="D429" s="77" t="n"/>
      <c r="E429" s="78" t="n"/>
    </row>
    <row r="430" ht="25" customHeight="1" s="18">
      <c r="A430" s="101" t="n"/>
      <c r="B430" s="89" t="n"/>
      <c r="C430" s="74" t="n"/>
      <c r="D430" s="74" t="n"/>
      <c r="E430" s="75" t="n"/>
    </row>
    <row r="431" ht="25" customHeight="1" s="18">
      <c r="A431" s="102" t="n"/>
      <c r="B431" s="66" t="n"/>
      <c r="C431" s="77" t="n"/>
      <c r="D431" s="77" t="n"/>
      <c r="E431" s="78" t="n"/>
    </row>
    <row r="432" ht="25" customHeight="1" s="18">
      <c r="A432" s="101" t="n"/>
      <c r="B432" s="89" t="n"/>
      <c r="C432" s="74" t="n"/>
      <c r="D432" s="74" t="n"/>
      <c r="E432" s="75" t="n"/>
    </row>
    <row r="433" ht="25" customHeight="1" s="18">
      <c r="A433" s="102" t="n"/>
      <c r="B433" s="66" t="n"/>
      <c r="C433" s="77" t="n"/>
      <c r="D433" s="77" t="n"/>
      <c r="E433" s="78" t="n"/>
    </row>
    <row r="434" ht="25" customHeight="1" s="18">
      <c r="A434" s="101" t="n"/>
      <c r="B434" s="89" t="n"/>
      <c r="C434" s="74" t="n"/>
      <c r="D434" s="74" t="n"/>
      <c r="E434" s="75" t="n"/>
    </row>
    <row r="435" ht="25" customHeight="1" s="18">
      <c r="A435" s="102" t="n"/>
      <c r="B435" s="66" t="n"/>
      <c r="C435" s="77" t="n"/>
      <c r="D435" s="77" t="n"/>
      <c r="E435" s="78" t="n"/>
    </row>
    <row r="436" ht="25" customHeight="1" s="18">
      <c r="A436" s="101" t="n"/>
      <c r="B436" s="89" t="n"/>
      <c r="C436" s="74" t="n"/>
      <c r="D436" s="74" t="n"/>
      <c r="E436" s="75" t="n"/>
    </row>
    <row r="437" ht="25" customHeight="1" s="18">
      <c r="A437" s="102" t="n"/>
      <c r="B437" s="66" t="n"/>
      <c r="C437" s="77" t="n"/>
      <c r="D437" s="77" t="n"/>
      <c r="E437" s="78" t="n"/>
    </row>
    <row r="438" ht="25" customHeight="1" s="18">
      <c r="A438" s="101" t="n"/>
      <c r="B438" s="89" t="n"/>
      <c r="C438" s="74" t="n"/>
      <c r="D438" s="74" t="n"/>
      <c r="E438" s="75" t="n"/>
    </row>
    <row r="439" ht="25" customHeight="1" s="18">
      <c r="A439" s="102" t="n"/>
      <c r="B439" s="66" t="n"/>
      <c r="C439" s="77" t="n"/>
      <c r="D439" s="77" t="n"/>
      <c r="E439" s="78" t="n"/>
    </row>
    <row r="440" ht="25" customHeight="1" s="18">
      <c r="A440" s="101" t="n"/>
      <c r="B440" s="89" t="n"/>
      <c r="C440" s="74" t="n"/>
      <c r="D440" s="74" t="n"/>
      <c r="E440" s="75" t="n"/>
    </row>
    <row r="441" ht="25" customHeight="1" s="18">
      <c r="A441" s="102" t="n"/>
      <c r="B441" s="66" t="n"/>
      <c r="C441" s="77" t="n"/>
      <c r="D441" s="77" t="n"/>
      <c r="E441" s="78" t="n"/>
    </row>
    <row r="442" ht="25" customHeight="1" s="18">
      <c r="A442" s="101" t="n"/>
      <c r="B442" s="89" t="n"/>
      <c r="C442" s="74" t="n"/>
      <c r="D442" s="74" t="n"/>
      <c r="E442" s="75" t="n"/>
    </row>
    <row r="443" ht="25" customHeight="1" s="18">
      <c r="A443" s="102" t="n"/>
      <c r="B443" s="66" t="n"/>
      <c r="C443" s="77" t="n"/>
      <c r="D443" s="77" t="n"/>
      <c r="E443" s="78" t="n"/>
    </row>
    <row r="444" ht="25" customHeight="1" s="18">
      <c r="A444" s="101" t="n"/>
      <c r="B444" s="89" t="n"/>
      <c r="C444" s="74" t="n"/>
      <c r="D444" s="74" t="n"/>
      <c r="E444" s="75" t="n"/>
    </row>
    <row r="445" ht="25" customHeight="1" s="18">
      <c r="A445" s="102" t="n"/>
      <c r="B445" s="66" t="n"/>
      <c r="C445" s="77" t="n"/>
      <c r="D445" s="77" t="n"/>
      <c r="E445" s="78" t="n"/>
    </row>
    <row r="446" ht="25" customHeight="1" s="18">
      <c r="A446" s="101" t="n"/>
      <c r="B446" s="89" t="n"/>
      <c r="C446" s="74" t="n"/>
      <c r="D446" s="74" t="n"/>
      <c r="E446" s="75" t="n"/>
    </row>
    <row r="447" ht="25" customHeight="1" s="18">
      <c r="A447" s="102" t="n"/>
      <c r="B447" s="66" t="n"/>
      <c r="C447" s="77" t="n"/>
      <c r="D447" s="77" t="n"/>
      <c r="E447" s="78" t="n"/>
    </row>
    <row r="448" ht="25" customHeight="1" s="18">
      <c r="A448" s="101" t="n"/>
      <c r="B448" s="89" t="n"/>
      <c r="C448" s="74" t="n"/>
      <c r="D448" s="74" t="n"/>
      <c r="E448" s="75" t="n"/>
    </row>
    <row r="449" ht="25" customHeight="1" s="18">
      <c r="A449" s="102" t="n"/>
      <c r="B449" s="66" t="n"/>
      <c r="C449" s="77" t="n"/>
      <c r="D449" s="77" t="n"/>
      <c r="E449" s="78" t="n"/>
    </row>
    <row r="450" ht="25" customHeight="1" s="18">
      <c r="A450" s="101" t="n"/>
      <c r="B450" s="89" t="n"/>
      <c r="C450" s="74" t="n"/>
      <c r="D450" s="74" t="n"/>
      <c r="E450" s="75" t="n"/>
    </row>
    <row r="451" ht="25" customHeight="1" s="18">
      <c r="A451" s="102" t="n"/>
      <c r="B451" s="66" t="n"/>
      <c r="C451" s="77" t="n"/>
      <c r="D451" s="77" t="n"/>
      <c r="E451" s="78" t="n"/>
    </row>
    <row r="452" ht="25" customHeight="1" s="18">
      <c r="A452" s="101" t="n"/>
      <c r="B452" s="89" t="n"/>
      <c r="C452" s="74" t="n"/>
      <c r="D452" s="74" t="n"/>
      <c r="E452" s="75" t="n"/>
    </row>
    <row r="453" ht="25" customHeight="1" s="18">
      <c r="A453" s="102" t="n"/>
      <c r="B453" s="66" t="n"/>
      <c r="C453" s="77" t="n"/>
      <c r="D453" s="77" t="n"/>
      <c r="E453" s="78" t="n"/>
    </row>
    <row r="454" ht="25" customHeight="1" s="18">
      <c r="A454" s="101" t="n"/>
      <c r="B454" s="89" t="n"/>
      <c r="C454" s="74" t="n"/>
      <c r="D454" s="74" t="n"/>
      <c r="E454" s="75" t="n"/>
    </row>
    <row r="455" ht="25" customHeight="1" s="18">
      <c r="A455" s="102" t="n"/>
      <c r="B455" s="66" t="n"/>
      <c r="C455" s="77" t="n"/>
      <c r="D455" s="77" t="n"/>
      <c r="E455" s="78" t="n"/>
    </row>
    <row r="456" ht="25" customHeight="1" s="18">
      <c r="A456" s="101" t="n"/>
      <c r="B456" s="89" t="n"/>
      <c r="C456" s="74" t="n"/>
      <c r="D456" s="74" t="n"/>
      <c r="E456" s="75" t="n"/>
    </row>
    <row r="457" ht="25" customHeight="1" s="18">
      <c r="A457" s="102" t="n"/>
      <c r="B457" s="66" t="n"/>
      <c r="C457" s="77" t="n"/>
      <c r="D457" s="77" t="n"/>
      <c r="E457" s="78" t="n"/>
    </row>
    <row r="458" ht="25" customHeight="1" s="18">
      <c r="A458" s="101" t="n"/>
      <c r="B458" s="89" t="n"/>
      <c r="C458" s="74" t="n"/>
      <c r="D458" s="74" t="n"/>
      <c r="E458" s="75" t="n"/>
    </row>
    <row r="459" ht="25" customHeight="1" s="18">
      <c r="A459" s="102" t="n"/>
      <c r="B459" s="66" t="n"/>
      <c r="C459" s="77" t="n"/>
      <c r="D459" s="77" t="n"/>
      <c r="E459" s="78" t="n"/>
    </row>
    <row r="460" ht="25" customHeight="1" s="18">
      <c r="A460" s="101" t="n"/>
      <c r="B460" s="89" t="n"/>
      <c r="C460" s="74" t="n"/>
      <c r="D460" s="74" t="n"/>
      <c r="E460" s="75" t="n"/>
    </row>
    <row r="461" ht="25" customHeight="1" s="18">
      <c r="A461" s="102" t="n"/>
      <c r="B461" s="66" t="n"/>
      <c r="C461" s="77" t="n"/>
      <c r="D461" s="77" t="n"/>
      <c r="E461" s="78" t="n"/>
    </row>
    <row r="462" ht="25" customHeight="1" s="18">
      <c r="A462" s="101" t="n"/>
      <c r="B462" s="89" t="n"/>
      <c r="C462" s="74" t="n"/>
      <c r="D462" s="74" t="n"/>
      <c r="E462" s="75" t="n"/>
    </row>
    <row r="463" ht="25" customHeight="1" s="18">
      <c r="A463" s="102" t="n"/>
      <c r="B463" s="66" t="n"/>
      <c r="C463" s="77" t="n"/>
      <c r="D463" s="77" t="n"/>
      <c r="E463" s="78" t="n"/>
    </row>
    <row r="464" ht="25" customHeight="1" s="18">
      <c r="A464" s="101" t="n"/>
      <c r="B464" s="89" t="n"/>
      <c r="C464" s="74" t="n"/>
      <c r="D464" s="74" t="n"/>
      <c r="E464" s="75" t="n"/>
    </row>
    <row r="465" ht="25" customHeight="1" s="18">
      <c r="A465" s="102" t="n"/>
      <c r="B465" s="66" t="n"/>
      <c r="C465" s="77" t="n"/>
      <c r="D465" s="77" t="n"/>
      <c r="E465" s="78" t="n"/>
    </row>
    <row r="466" ht="25" customHeight="1" s="18">
      <c r="A466" s="101" t="n"/>
      <c r="B466" s="89" t="n"/>
      <c r="C466" s="74" t="n"/>
      <c r="D466" s="74" t="n"/>
      <c r="E466" s="75" t="n"/>
    </row>
    <row r="467" ht="25" customHeight="1" s="18">
      <c r="A467" s="102" t="n"/>
      <c r="B467" s="66" t="n"/>
      <c r="C467" s="77" t="n"/>
      <c r="D467" s="77" t="n"/>
      <c r="E467" s="78" t="n"/>
    </row>
    <row r="468" ht="25" customHeight="1" s="18">
      <c r="A468" s="101" t="n"/>
      <c r="B468" s="89" t="n"/>
      <c r="C468" s="74" t="n"/>
      <c r="D468" s="74" t="n"/>
      <c r="E468" s="75" t="n"/>
    </row>
    <row r="469" ht="25" customHeight="1" s="18">
      <c r="A469" s="102" t="n"/>
      <c r="B469" s="66" t="n"/>
      <c r="C469" s="77" t="n"/>
      <c r="D469" s="77" t="n"/>
      <c r="E469" s="78" t="n"/>
    </row>
    <row r="470" ht="25" customHeight="1" s="18">
      <c r="A470" s="101" t="n"/>
      <c r="B470" s="89" t="n"/>
      <c r="C470" s="74" t="n"/>
      <c r="D470" s="74" t="n"/>
      <c r="E470" s="75" t="n"/>
    </row>
    <row r="471" ht="25" customHeight="1" s="18">
      <c r="A471" s="102" t="n"/>
      <c r="B471" s="66" t="n"/>
      <c r="C471" s="77" t="n"/>
      <c r="D471" s="77" t="n"/>
      <c r="E471" s="78" t="n"/>
    </row>
    <row r="472" ht="25" customHeight="1" s="18">
      <c r="A472" s="101" t="n"/>
      <c r="B472" s="89" t="n"/>
      <c r="C472" s="74" t="n"/>
      <c r="D472" s="74" t="n"/>
      <c r="E472" s="75" t="n"/>
    </row>
    <row r="473" ht="25" customHeight="1" s="18">
      <c r="A473" s="102" t="n"/>
      <c r="B473" s="66" t="n"/>
      <c r="C473" s="77" t="n"/>
      <c r="D473" s="77" t="n"/>
      <c r="E473" s="78" t="n"/>
    </row>
    <row r="474" ht="25" customHeight="1" s="18">
      <c r="A474" s="101" t="n"/>
      <c r="B474" s="89" t="n"/>
      <c r="C474" s="74" t="n"/>
      <c r="D474" s="74" t="n"/>
      <c r="E474" s="75" t="n"/>
    </row>
    <row r="475" ht="25" customHeight="1" s="18">
      <c r="A475" s="102" t="n"/>
      <c r="B475" s="66" t="n"/>
      <c r="C475" s="77" t="n"/>
      <c r="D475" s="77" t="n"/>
      <c r="E475" s="78" t="n"/>
    </row>
    <row r="476" ht="25" customHeight="1" s="18">
      <c r="A476" s="101" t="n"/>
      <c r="B476" s="89" t="n"/>
      <c r="C476" s="74" t="n"/>
      <c r="D476" s="74" t="n"/>
      <c r="E476" s="75" t="n"/>
    </row>
    <row r="477" ht="25" customHeight="1" s="18">
      <c r="A477" s="102" t="n"/>
      <c r="B477" s="66" t="n"/>
      <c r="C477" s="77" t="n"/>
      <c r="D477" s="77" t="n"/>
      <c r="E477" s="78" t="n"/>
    </row>
    <row r="478" ht="25" customHeight="1" s="18">
      <c r="A478" s="101" t="n"/>
      <c r="B478" s="89" t="n"/>
      <c r="C478" s="74" t="n"/>
      <c r="D478" s="74" t="n"/>
      <c r="E478" s="75" t="n"/>
    </row>
    <row r="479" ht="25" customHeight="1" s="18">
      <c r="A479" s="102" t="n"/>
      <c r="B479" s="66" t="n"/>
      <c r="C479" s="77" t="n"/>
      <c r="D479" s="77" t="n"/>
      <c r="E479" s="78" t="n"/>
    </row>
    <row r="480" ht="25" customHeight="1" s="18">
      <c r="A480" s="101" t="n"/>
      <c r="B480" s="89" t="n"/>
      <c r="C480" s="74" t="n"/>
      <c r="D480" s="74" t="n"/>
      <c r="E480" s="75" t="n"/>
    </row>
    <row r="481" ht="25" customHeight="1" s="18">
      <c r="A481" s="102" t="n"/>
      <c r="B481" s="66" t="n"/>
      <c r="C481" s="77" t="n"/>
      <c r="D481" s="77" t="n"/>
      <c r="E481" s="78" t="n"/>
    </row>
    <row r="482" ht="25" customHeight="1" s="18">
      <c r="A482" s="101" t="n"/>
      <c r="B482" s="89" t="n"/>
      <c r="C482" s="74" t="n"/>
      <c r="D482" s="74" t="n"/>
      <c r="E482" s="75" t="n"/>
    </row>
    <row r="483" ht="25" customHeight="1" s="18">
      <c r="A483" s="102" t="n"/>
      <c r="B483" s="66" t="n"/>
      <c r="C483" s="77" t="n"/>
      <c r="D483" s="77" t="n"/>
      <c r="E483" s="78" t="n"/>
    </row>
    <row r="484" ht="25" customHeight="1" s="18">
      <c r="A484" s="101" t="n"/>
      <c r="B484" s="89" t="n"/>
      <c r="C484" s="74" t="n"/>
      <c r="D484" s="74" t="n"/>
      <c r="E484" s="75" t="n"/>
    </row>
    <row r="485" ht="25" customHeight="1" s="18">
      <c r="A485" s="102" t="n"/>
      <c r="B485" s="66" t="n"/>
      <c r="C485" s="77" t="n"/>
      <c r="D485" s="77" t="n"/>
      <c r="E485" s="78" t="n"/>
    </row>
    <row r="486" ht="25" customHeight="1" s="18">
      <c r="A486" s="101" t="n"/>
      <c r="B486" s="89" t="n"/>
      <c r="C486" s="74" t="n"/>
      <c r="D486" s="74" t="n"/>
      <c r="E486" s="75" t="n"/>
    </row>
    <row r="487" ht="25" customHeight="1" s="18">
      <c r="A487" s="102" t="n"/>
      <c r="B487" s="66" t="n"/>
      <c r="C487" s="77" t="n"/>
      <c r="D487" s="77" t="n"/>
      <c r="E487" s="78" t="n"/>
    </row>
    <row r="488" ht="25" customHeight="1" s="18">
      <c r="A488" s="101" t="n"/>
      <c r="B488" s="89" t="n"/>
      <c r="C488" s="74" t="n"/>
      <c r="D488" s="74" t="n"/>
      <c r="E488" s="75" t="n"/>
    </row>
    <row r="489" ht="25" customHeight="1" s="18">
      <c r="A489" s="102" t="n"/>
      <c r="B489" s="66" t="n"/>
      <c r="C489" s="77" t="n"/>
      <c r="D489" s="77" t="n"/>
      <c r="E489" s="78" t="n"/>
    </row>
    <row r="490" ht="25" customHeight="1" s="18">
      <c r="A490" s="101" t="n"/>
      <c r="B490" s="89" t="n"/>
      <c r="C490" s="74" t="n"/>
      <c r="D490" s="74" t="n"/>
      <c r="E490" s="75" t="n"/>
    </row>
    <row r="491" ht="25" customHeight="1" s="18">
      <c r="A491" s="102" t="n"/>
      <c r="B491" s="66" t="n"/>
      <c r="C491" s="77" t="n"/>
      <c r="D491" s="77" t="n"/>
      <c r="E491" s="78" t="n"/>
    </row>
    <row r="492" ht="25" customHeight="1" s="18">
      <c r="A492" s="101" t="n"/>
      <c r="B492" s="89" t="n"/>
      <c r="C492" s="74" t="n"/>
      <c r="D492" s="74" t="n"/>
      <c r="E492" s="75" t="n"/>
    </row>
    <row r="493" ht="25" customHeight="1" s="18">
      <c r="A493" s="102" t="n"/>
      <c r="B493" s="66" t="n"/>
      <c r="C493" s="77" t="n"/>
      <c r="D493" s="77" t="n"/>
      <c r="E493" s="78" t="n"/>
    </row>
    <row r="494" ht="25" customHeight="1" s="18">
      <c r="A494" s="101" t="n"/>
      <c r="B494" s="89" t="n"/>
      <c r="C494" s="74" t="n"/>
      <c r="D494" s="74" t="n"/>
      <c r="E494" s="75" t="n"/>
    </row>
    <row r="495" ht="25" customHeight="1" s="18">
      <c r="A495" s="102" t="n"/>
      <c r="B495" s="66" t="n"/>
      <c r="C495" s="77" t="n"/>
      <c r="D495" s="77" t="n"/>
      <c r="E495" s="78" t="n"/>
    </row>
    <row r="496" ht="25" customHeight="1" s="18">
      <c r="A496" s="101" t="n"/>
      <c r="B496" s="89" t="n"/>
      <c r="C496" s="74" t="n"/>
      <c r="D496" s="74" t="n"/>
      <c r="E496" s="75" t="n"/>
    </row>
    <row r="497" ht="25" customHeight="1" s="18">
      <c r="A497" s="102" t="n"/>
      <c r="B497" s="66" t="n"/>
      <c r="C497" s="77" t="n"/>
      <c r="D497" s="77" t="n"/>
      <c r="E497" s="78" t="n"/>
    </row>
    <row r="498" ht="25" customHeight="1" s="18">
      <c r="A498" s="101" t="n"/>
      <c r="B498" s="89" t="n"/>
      <c r="C498" s="74" t="n"/>
      <c r="D498" s="74" t="n"/>
      <c r="E498" s="75" t="n"/>
    </row>
    <row r="499" ht="25" customHeight="1" s="18">
      <c r="A499" s="102" t="n"/>
      <c r="B499" s="66" t="n"/>
      <c r="C499" s="77" t="n"/>
      <c r="D499" s="77" t="n"/>
      <c r="E499" s="78" t="n"/>
    </row>
  </sheetData>
  <conditionalFormatting sqref="D2:D500">
    <cfRule type="expression" priority="1" dxfId="8">
      <formula>D2="Gasto"</formula>
    </cfRule>
    <cfRule type="expression" priority="2" dxfId="7">
      <formula>D2="Ingreso"</formula>
    </cfRule>
  </conditionalFormatting>
  <dataValidations count="3">
    <dataValidation sqref="C2:C500" showDropDown="0" showInputMessage="0" showErrorMessage="0" allowBlank="1" type="list">
      <formula1>'Categorías'!$A$2:$A$15</formula1>
    </dataValidation>
    <dataValidation sqref="D2:D500" showDropDown="0" showInputMessage="0" showErrorMessage="0" allowBlank="1" type="list">
      <formula1>"Ingreso,Gasto"</formula1>
    </dataValidation>
    <dataValidation sqref="A2:A500" showDropDown="0" showInputMessage="0" showErrorMessage="0" allowBlank="1" errorTitle="Fecha no válida" error="Por favor introduce una fecha válida (dd/mm/yyyy) o utiliza el selector de fecha." type="date" operator="greaterThanOrEqual">
      <formula1>DATE(2000,1,1)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2025-05-14T08:01:18Z</dcterms:created>
  <dcterms:modified xsi:type="dcterms:W3CDTF">2026-05-21T11:17:25Z</dcterms:modified>
</cp:coreProperties>
</file>